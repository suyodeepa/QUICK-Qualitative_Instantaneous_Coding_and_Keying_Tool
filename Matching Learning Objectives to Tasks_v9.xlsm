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udeep\Documents\Postdoc projects\Miscellaneous projects\Excel Tool-Matching learning objectives to tasks\"/>
    </mc:Choice>
  </mc:AlternateContent>
  <bookViews>
    <workbookView xWindow="0" yWindow="0" windowWidth="20490" windowHeight="7710"/>
  </bookViews>
  <sheets>
    <sheet name="MatchingToTasks" sheetId="13" r:id="rId1"/>
    <sheet name="Tasks" sheetId="15" r:id="rId2"/>
    <sheet name="Learning Objectives" sheetId="14" r:id="rId3"/>
  </sheet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9" i="13" l="1"/>
  <c r="Q9" i="13"/>
  <c r="R9" i="13"/>
  <c r="P10" i="13"/>
  <c r="Q10" i="13"/>
  <c r="R10" i="13"/>
  <c r="P11" i="13"/>
  <c r="Q11" i="13"/>
  <c r="R11" i="13"/>
  <c r="P12" i="13"/>
  <c r="Q12" i="13"/>
  <c r="R12" i="13"/>
  <c r="P13" i="13"/>
  <c r="Q13" i="13"/>
  <c r="R13" i="13"/>
  <c r="P14" i="13"/>
  <c r="Q14" i="13"/>
  <c r="R14" i="13"/>
  <c r="P15" i="13"/>
  <c r="Q15" i="13"/>
  <c r="R15" i="13"/>
  <c r="P16" i="13"/>
  <c r="Q16" i="13"/>
  <c r="R16" i="13"/>
  <c r="P17" i="13"/>
  <c r="Q17" i="13"/>
  <c r="R17" i="13"/>
  <c r="P18" i="13"/>
  <c r="Q18" i="13"/>
  <c r="R18" i="13"/>
  <c r="P19" i="13"/>
  <c r="Q19" i="13"/>
  <c r="R19" i="13"/>
  <c r="P20" i="13"/>
  <c r="Q20" i="13"/>
  <c r="R20" i="13"/>
  <c r="P21" i="13"/>
  <c r="Q21" i="13"/>
  <c r="R21" i="13"/>
  <c r="P22" i="13"/>
  <c r="Q22" i="13"/>
  <c r="R22" i="13"/>
  <c r="P23" i="13"/>
  <c r="Q23" i="13"/>
  <c r="R23" i="13"/>
  <c r="P24" i="13"/>
  <c r="Q24" i="13"/>
  <c r="R24" i="13"/>
  <c r="P25" i="13"/>
  <c r="Q25" i="13"/>
  <c r="R25" i="13"/>
  <c r="P26" i="13"/>
  <c r="Q26" i="13"/>
  <c r="R26" i="13"/>
  <c r="P27" i="13"/>
  <c r="Q27" i="13"/>
  <c r="R27" i="13"/>
  <c r="P28" i="13"/>
  <c r="Q28" i="13"/>
  <c r="R28" i="13"/>
  <c r="P29" i="13"/>
  <c r="Q29" i="13"/>
  <c r="R29" i="13"/>
  <c r="P30" i="13"/>
  <c r="Q30" i="13"/>
  <c r="R30" i="13"/>
  <c r="P31" i="13"/>
  <c r="Q31" i="13"/>
  <c r="R31" i="13"/>
  <c r="P32" i="13"/>
  <c r="Q32" i="13"/>
  <c r="R32" i="13"/>
  <c r="P33" i="13"/>
  <c r="Q33" i="13"/>
  <c r="R33" i="13"/>
  <c r="P34" i="13"/>
  <c r="Q34" i="13"/>
  <c r="R34" i="13"/>
  <c r="P35" i="13"/>
  <c r="Q35" i="13"/>
  <c r="R35" i="13"/>
  <c r="P36" i="13"/>
  <c r="Q36" i="13"/>
  <c r="R36" i="13"/>
  <c r="P37" i="13"/>
  <c r="Q37" i="13"/>
  <c r="R37" i="13"/>
  <c r="P38" i="13"/>
  <c r="Q38" i="13"/>
  <c r="R38" i="13"/>
  <c r="P39" i="13"/>
  <c r="Q39" i="13"/>
  <c r="R39" i="13"/>
  <c r="P40" i="13"/>
  <c r="Q40" i="13"/>
  <c r="R40" i="13"/>
  <c r="P41" i="13"/>
  <c r="Q41" i="13"/>
  <c r="R41" i="13"/>
  <c r="P42" i="13"/>
  <c r="Q42" i="13"/>
  <c r="R42" i="13"/>
  <c r="P43" i="13"/>
  <c r="Q43" i="13"/>
  <c r="R43" i="13"/>
  <c r="P44" i="13"/>
  <c r="Q44" i="13"/>
  <c r="R44" i="13"/>
  <c r="P45" i="13"/>
  <c r="Q45" i="13"/>
  <c r="R45" i="13"/>
  <c r="P46" i="13"/>
  <c r="Q46" i="13"/>
  <c r="R46" i="13"/>
  <c r="P47" i="13"/>
  <c r="Q47" i="13"/>
  <c r="R47" i="13"/>
  <c r="P48" i="13"/>
  <c r="Q48" i="13"/>
  <c r="R48" i="13"/>
  <c r="P49" i="13"/>
  <c r="Q49" i="13"/>
  <c r="R49" i="13"/>
  <c r="P50" i="13"/>
  <c r="Q50" i="13"/>
  <c r="R50" i="13"/>
  <c r="P51" i="13"/>
  <c r="Q51" i="13"/>
  <c r="R51" i="13"/>
  <c r="P52" i="13"/>
  <c r="Q52" i="13"/>
  <c r="R52" i="13"/>
  <c r="P53" i="13"/>
  <c r="Q53" i="13"/>
  <c r="R53" i="13"/>
  <c r="P54" i="13"/>
  <c r="Q54" i="13"/>
  <c r="R54" i="13"/>
  <c r="P55" i="13"/>
  <c r="Q55" i="13"/>
  <c r="R55" i="13"/>
  <c r="P56" i="13"/>
  <c r="Q56" i="13"/>
  <c r="R56" i="13"/>
  <c r="P57" i="13"/>
  <c r="Q57" i="13"/>
  <c r="R57" i="13"/>
  <c r="P58" i="13"/>
  <c r="Q58" i="13"/>
  <c r="R58" i="13"/>
  <c r="P59" i="13"/>
  <c r="Q59" i="13"/>
  <c r="R59" i="13"/>
  <c r="P60" i="13"/>
  <c r="Q60" i="13"/>
  <c r="R60" i="13"/>
  <c r="P61" i="13"/>
  <c r="Q61" i="13"/>
  <c r="R61" i="13"/>
  <c r="P62" i="13"/>
  <c r="Q62" i="13"/>
  <c r="R62" i="13"/>
  <c r="P63" i="13"/>
  <c r="Q63" i="13"/>
  <c r="R63" i="13"/>
  <c r="P64" i="13"/>
  <c r="Q64" i="13"/>
  <c r="R64" i="13"/>
  <c r="P65" i="13"/>
  <c r="Q65" i="13"/>
  <c r="R65" i="13"/>
  <c r="P66" i="13"/>
  <c r="Q66" i="13"/>
  <c r="R66" i="13"/>
  <c r="P67" i="13"/>
  <c r="Q67" i="13"/>
  <c r="R67" i="13"/>
  <c r="P68" i="13"/>
  <c r="Q68" i="13"/>
  <c r="R68" i="13"/>
  <c r="P69" i="13"/>
  <c r="Q69" i="13"/>
  <c r="R69" i="13"/>
  <c r="P70" i="13"/>
  <c r="Q70" i="13"/>
  <c r="R70" i="13"/>
  <c r="P71" i="13"/>
  <c r="Q71" i="13"/>
  <c r="R71" i="13"/>
  <c r="P72" i="13"/>
  <c r="Q72" i="13"/>
  <c r="R72" i="13"/>
  <c r="P73" i="13"/>
  <c r="Q73" i="13"/>
  <c r="R73" i="13"/>
  <c r="P74" i="13"/>
  <c r="Q74" i="13"/>
  <c r="R74" i="13"/>
  <c r="P75" i="13"/>
  <c r="Q75" i="13"/>
  <c r="R75" i="13"/>
  <c r="P76" i="13"/>
  <c r="Q76" i="13"/>
  <c r="R76" i="13"/>
  <c r="P77" i="13"/>
  <c r="Q77" i="13"/>
  <c r="R77" i="13"/>
  <c r="P78" i="13"/>
  <c r="Q78" i="13"/>
  <c r="R78" i="13"/>
  <c r="P79" i="13"/>
  <c r="Q79" i="13"/>
  <c r="R79" i="13"/>
  <c r="P80" i="13"/>
  <c r="Q80" i="13"/>
  <c r="R80" i="13"/>
  <c r="P81" i="13"/>
  <c r="Q81" i="13"/>
  <c r="R81" i="13"/>
  <c r="P82" i="13"/>
  <c r="Q82" i="13"/>
  <c r="R82" i="13"/>
  <c r="P83" i="13"/>
  <c r="Q83" i="13"/>
  <c r="R83" i="13"/>
  <c r="P84" i="13"/>
  <c r="Q84" i="13"/>
  <c r="R84" i="13"/>
  <c r="P85" i="13"/>
  <c r="Q85" i="13"/>
  <c r="R85" i="13"/>
  <c r="P86" i="13"/>
  <c r="Q86" i="13"/>
  <c r="R86" i="13"/>
  <c r="P87" i="13"/>
  <c r="Q87" i="13"/>
  <c r="R87" i="13"/>
  <c r="P88" i="13"/>
  <c r="Q88" i="13"/>
  <c r="R88" i="13"/>
  <c r="P89" i="13"/>
  <c r="Q89" i="13"/>
  <c r="R89" i="13"/>
  <c r="P90" i="13"/>
  <c r="Q90" i="13"/>
  <c r="R90" i="13"/>
  <c r="P91" i="13"/>
  <c r="Q91" i="13"/>
  <c r="R91" i="13"/>
  <c r="P92" i="13"/>
  <c r="Q92" i="13"/>
  <c r="R92" i="13"/>
  <c r="P93" i="13"/>
  <c r="Q93" i="13"/>
  <c r="R93" i="13"/>
  <c r="P94" i="13"/>
  <c r="Q94" i="13"/>
  <c r="R94" i="13"/>
  <c r="P95" i="13"/>
  <c r="Q95" i="13"/>
  <c r="R95" i="13"/>
  <c r="P96" i="13"/>
  <c r="Q96" i="13"/>
  <c r="R96" i="13"/>
  <c r="P97" i="13"/>
  <c r="Q97" i="13"/>
  <c r="R97" i="13"/>
  <c r="P98" i="13"/>
  <c r="Q98" i="13"/>
  <c r="R98" i="13"/>
  <c r="P99" i="13"/>
  <c r="Q99" i="13"/>
  <c r="R99" i="13"/>
  <c r="P100" i="13"/>
  <c r="Q100" i="13"/>
  <c r="R100" i="13"/>
  <c r="P101" i="13"/>
  <c r="Q101" i="13"/>
  <c r="R101" i="13"/>
  <c r="P102" i="13"/>
  <c r="Q102" i="13"/>
  <c r="R102" i="13"/>
  <c r="P103" i="13"/>
  <c r="Q103" i="13"/>
  <c r="R103" i="13"/>
  <c r="P104" i="13"/>
  <c r="Q104" i="13"/>
  <c r="R104" i="13"/>
  <c r="P105" i="13"/>
  <c r="Q105" i="13"/>
  <c r="R105" i="13"/>
  <c r="P106" i="13"/>
  <c r="Q106" i="13"/>
  <c r="R106" i="13"/>
  <c r="P107" i="13"/>
  <c r="Q107" i="13"/>
  <c r="R107" i="13"/>
  <c r="P108" i="13"/>
  <c r="Q108" i="13"/>
  <c r="R108" i="13"/>
  <c r="P109" i="13"/>
  <c r="Q109" i="13"/>
  <c r="R109" i="13"/>
  <c r="P110" i="13"/>
  <c r="Q110" i="13"/>
  <c r="R110" i="13"/>
  <c r="P111" i="13"/>
  <c r="Q111" i="13"/>
  <c r="R111" i="13"/>
  <c r="P112" i="13"/>
  <c r="Q112" i="13"/>
  <c r="R112" i="13"/>
  <c r="P113" i="13"/>
  <c r="Q113" i="13"/>
  <c r="R113" i="13"/>
  <c r="P114" i="13"/>
  <c r="Q114" i="13"/>
  <c r="R114" i="13"/>
  <c r="P115" i="13"/>
  <c r="Q115" i="13"/>
  <c r="R115" i="13"/>
  <c r="P116" i="13"/>
  <c r="Q116" i="13"/>
  <c r="R116" i="13"/>
  <c r="P117" i="13"/>
  <c r="Q117" i="13"/>
  <c r="R117" i="13"/>
  <c r="P118" i="13"/>
  <c r="Q118" i="13"/>
  <c r="R118" i="13"/>
  <c r="P119" i="13"/>
  <c r="Q119" i="13"/>
  <c r="R119" i="13"/>
  <c r="P120" i="13"/>
  <c r="Q120" i="13"/>
  <c r="R120" i="13"/>
  <c r="P121" i="13"/>
  <c r="Q121" i="13"/>
  <c r="R121" i="13"/>
  <c r="P122" i="13"/>
  <c r="Q122" i="13"/>
  <c r="R122" i="13"/>
  <c r="P123" i="13"/>
  <c r="Q123" i="13"/>
  <c r="R123" i="13"/>
  <c r="P124" i="13"/>
  <c r="Q124" i="13"/>
  <c r="R124" i="13"/>
  <c r="P125" i="13"/>
  <c r="Q125" i="13"/>
  <c r="R125" i="13"/>
  <c r="P126" i="13"/>
  <c r="Q126" i="13"/>
  <c r="R126" i="13"/>
  <c r="P127" i="13"/>
  <c r="Q127" i="13"/>
  <c r="R127" i="13"/>
  <c r="P128" i="13"/>
  <c r="Q128" i="13"/>
  <c r="R128" i="13"/>
  <c r="P129" i="13"/>
  <c r="Q129" i="13"/>
  <c r="R129" i="13"/>
  <c r="P130" i="13"/>
  <c r="Q130" i="13"/>
  <c r="R130" i="13"/>
  <c r="P131" i="13"/>
  <c r="Q131" i="13"/>
  <c r="R131" i="13"/>
  <c r="P132" i="13"/>
  <c r="Q132" i="13"/>
  <c r="R132" i="13"/>
  <c r="P133" i="13"/>
  <c r="Q133" i="13"/>
  <c r="R133" i="13"/>
  <c r="P134" i="13"/>
  <c r="Q134" i="13"/>
  <c r="R134" i="13"/>
  <c r="P135" i="13"/>
  <c r="Q135" i="13"/>
  <c r="R135" i="13"/>
  <c r="P136" i="13"/>
  <c r="Q136" i="13"/>
  <c r="R136" i="13"/>
  <c r="P137" i="13"/>
  <c r="Q137" i="13"/>
  <c r="R137" i="13"/>
  <c r="P138" i="13"/>
  <c r="Q138" i="13"/>
  <c r="R138" i="13"/>
  <c r="P6" i="13"/>
  <c r="Q6" i="13"/>
  <c r="R6" i="13"/>
  <c r="P7" i="13"/>
  <c r="Q7" i="13"/>
  <c r="R7" i="13"/>
  <c r="P8" i="13"/>
  <c r="Q8" i="13"/>
  <c r="R8" i="13"/>
  <c r="Q5" i="13"/>
  <c r="R5" i="13"/>
  <c r="P5" i="13"/>
  <c r="G11" i="13"/>
  <c r="H11" i="13"/>
  <c r="I11" i="13"/>
  <c r="J11" i="13"/>
  <c r="K11" i="13"/>
  <c r="L11" i="13"/>
  <c r="M11" i="13"/>
  <c r="N11" i="13"/>
  <c r="G12" i="13"/>
  <c r="H12" i="13"/>
  <c r="I12" i="13"/>
  <c r="J12" i="13"/>
  <c r="K12" i="13"/>
  <c r="L12" i="13"/>
  <c r="M12" i="13"/>
  <c r="N12" i="13"/>
  <c r="G13" i="13"/>
  <c r="H13" i="13"/>
  <c r="I13" i="13"/>
  <c r="J13" i="13"/>
  <c r="K13" i="13"/>
  <c r="L13" i="13"/>
  <c r="M13" i="13"/>
  <c r="N13" i="13"/>
  <c r="G14" i="13"/>
  <c r="H14" i="13"/>
  <c r="I14" i="13"/>
  <c r="J14" i="13"/>
  <c r="K14" i="13"/>
  <c r="L14" i="13"/>
  <c r="M14" i="13"/>
  <c r="N14" i="13"/>
  <c r="G15" i="13"/>
  <c r="H15" i="13"/>
  <c r="I15" i="13"/>
  <c r="J15" i="13"/>
  <c r="K15" i="13"/>
  <c r="L15" i="13"/>
  <c r="M15" i="13"/>
  <c r="N15" i="13"/>
  <c r="G16" i="13"/>
  <c r="H16" i="13"/>
  <c r="I16" i="13"/>
  <c r="J16" i="13"/>
  <c r="K16" i="13"/>
  <c r="L16" i="13"/>
  <c r="M16" i="13"/>
  <c r="N16" i="13"/>
  <c r="G17" i="13"/>
  <c r="H17" i="13"/>
  <c r="I17" i="13"/>
  <c r="J17" i="13"/>
  <c r="K17" i="13"/>
  <c r="L17" i="13"/>
  <c r="M17" i="13"/>
  <c r="N17" i="13"/>
  <c r="G18" i="13"/>
  <c r="H18" i="13"/>
  <c r="I18" i="13"/>
  <c r="J18" i="13"/>
  <c r="K18" i="13"/>
  <c r="L18" i="13"/>
  <c r="M18" i="13"/>
  <c r="N18" i="13"/>
  <c r="G19" i="13"/>
  <c r="H19" i="13"/>
  <c r="I19" i="13"/>
  <c r="J19" i="13"/>
  <c r="K19" i="13"/>
  <c r="L19" i="13"/>
  <c r="M19" i="13"/>
  <c r="N19" i="13"/>
  <c r="G20" i="13"/>
  <c r="H20" i="13"/>
  <c r="I20" i="13"/>
  <c r="J20" i="13"/>
  <c r="K20" i="13"/>
  <c r="L20" i="13"/>
  <c r="M20" i="13"/>
  <c r="N20" i="13"/>
  <c r="G21" i="13"/>
  <c r="H21" i="13"/>
  <c r="I21" i="13"/>
  <c r="J21" i="13"/>
  <c r="K21" i="13"/>
  <c r="L21" i="13"/>
  <c r="M21" i="13"/>
  <c r="N21" i="13"/>
  <c r="G22" i="13"/>
  <c r="H22" i="13"/>
  <c r="I22" i="13"/>
  <c r="J22" i="13"/>
  <c r="K22" i="13"/>
  <c r="L22" i="13"/>
  <c r="M22" i="13"/>
  <c r="N22" i="13"/>
  <c r="G23" i="13"/>
  <c r="H23" i="13"/>
  <c r="I23" i="13"/>
  <c r="J23" i="13"/>
  <c r="K23" i="13"/>
  <c r="L23" i="13"/>
  <c r="M23" i="13"/>
  <c r="N23" i="13"/>
  <c r="G24" i="13"/>
  <c r="H24" i="13"/>
  <c r="I24" i="13"/>
  <c r="J24" i="13"/>
  <c r="K24" i="13"/>
  <c r="L24" i="13"/>
  <c r="M24" i="13"/>
  <c r="N24" i="13"/>
  <c r="G25" i="13"/>
  <c r="H25" i="13"/>
  <c r="I25" i="13"/>
  <c r="J25" i="13"/>
  <c r="K25" i="13"/>
  <c r="L25" i="13"/>
  <c r="M25" i="13"/>
  <c r="N25" i="13"/>
  <c r="G26" i="13"/>
  <c r="H26" i="13"/>
  <c r="I26" i="13"/>
  <c r="J26" i="13"/>
  <c r="K26" i="13"/>
  <c r="L26" i="13"/>
  <c r="M26" i="13"/>
  <c r="N26" i="13"/>
  <c r="G27" i="13"/>
  <c r="H27" i="13"/>
  <c r="I27" i="13"/>
  <c r="J27" i="13"/>
  <c r="K27" i="13"/>
  <c r="L27" i="13"/>
  <c r="M27" i="13"/>
  <c r="N27" i="13"/>
  <c r="G28" i="13"/>
  <c r="H28" i="13"/>
  <c r="I28" i="13"/>
  <c r="J28" i="13"/>
  <c r="K28" i="13"/>
  <c r="L28" i="13"/>
  <c r="M28" i="13"/>
  <c r="N28" i="13"/>
  <c r="G29" i="13"/>
  <c r="H29" i="13"/>
  <c r="I29" i="13"/>
  <c r="J29" i="13"/>
  <c r="K29" i="13"/>
  <c r="L29" i="13"/>
  <c r="M29" i="13"/>
  <c r="N29" i="13"/>
  <c r="G30" i="13"/>
  <c r="H30" i="13"/>
  <c r="I30" i="13"/>
  <c r="J30" i="13"/>
  <c r="K30" i="13"/>
  <c r="L30" i="13"/>
  <c r="M30" i="13"/>
  <c r="N30" i="13"/>
  <c r="G31" i="13"/>
  <c r="H31" i="13"/>
  <c r="I31" i="13"/>
  <c r="J31" i="13"/>
  <c r="K31" i="13"/>
  <c r="L31" i="13"/>
  <c r="M31" i="13"/>
  <c r="N31" i="13"/>
  <c r="G32" i="13"/>
  <c r="H32" i="13"/>
  <c r="I32" i="13"/>
  <c r="J32" i="13"/>
  <c r="K32" i="13"/>
  <c r="L32" i="13"/>
  <c r="M32" i="13"/>
  <c r="N32" i="13"/>
  <c r="G33" i="13"/>
  <c r="H33" i="13"/>
  <c r="I33" i="13"/>
  <c r="J33" i="13"/>
  <c r="K33" i="13"/>
  <c r="L33" i="13"/>
  <c r="M33" i="13"/>
  <c r="N33" i="13"/>
  <c r="G34" i="13"/>
  <c r="H34" i="13"/>
  <c r="I34" i="13"/>
  <c r="J34" i="13"/>
  <c r="K34" i="13"/>
  <c r="L34" i="13"/>
  <c r="M34" i="13"/>
  <c r="N34" i="13"/>
  <c r="G35" i="13"/>
  <c r="H35" i="13"/>
  <c r="I35" i="13"/>
  <c r="J35" i="13"/>
  <c r="K35" i="13"/>
  <c r="L35" i="13"/>
  <c r="M35" i="13"/>
  <c r="N35" i="13"/>
  <c r="G36" i="13"/>
  <c r="H36" i="13"/>
  <c r="I36" i="13"/>
  <c r="J36" i="13"/>
  <c r="K36" i="13"/>
  <c r="L36" i="13"/>
  <c r="M36" i="13"/>
  <c r="N36" i="13"/>
  <c r="G37" i="13"/>
  <c r="H37" i="13"/>
  <c r="I37" i="13"/>
  <c r="J37" i="13"/>
  <c r="K37" i="13"/>
  <c r="L37" i="13"/>
  <c r="M37" i="13"/>
  <c r="N37" i="13"/>
  <c r="G38" i="13"/>
  <c r="H38" i="13"/>
  <c r="I38" i="13"/>
  <c r="J38" i="13"/>
  <c r="K38" i="13"/>
  <c r="L38" i="13"/>
  <c r="M38" i="13"/>
  <c r="N38" i="13"/>
  <c r="G39" i="13"/>
  <c r="H39" i="13"/>
  <c r="I39" i="13"/>
  <c r="J39" i="13"/>
  <c r="K39" i="13"/>
  <c r="L39" i="13"/>
  <c r="M39" i="13"/>
  <c r="N39" i="13"/>
  <c r="G40" i="13"/>
  <c r="H40" i="13"/>
  <c r="I40" i="13"/>
  <c r="J40" i="13"/>
  <c r="K40" i="13"/>
  <c r="L40" i="13"/>
  <c r="M40" i="13"/>
  <c r="N40" i="13"/>
  <c r="G41" i="13"/>
  <c r="H41" i="13"/>
  <c r="I41" i="13"/>
  <c r="J41" i="13"/>
  <c r="K41" i="13"/>
  <c r="L41" i="13"/>
  <c r="M41" i="13"/>
  <c r="N41" i="13"/>
  <c r="G42" i="13"/>
  <c r="H42" i="13"/>
  <c r="I42" i="13"/>
  <c r="J42" i="13"/>
  <c r="K42" i="13"/>
  <c r="L42" i="13"/>
  <c r="M42" i="13"/>
  <c r="N42" i="13"/>
  <c r="G43" i="13"/>
  <c r="H43" i="13"/>
  <c r="I43" i="13"/>
  <c r="J43" i="13"/>
  <c r="K43" i="13"/>
  <c r="L43" i="13"/>
  <c r="M43" i="13"/>
  <c r="N43" i="13"/>
  <c r="G44" i="13"/>
  <c r="H44" i="13"/>
  <c r="I44" i="13"/>
  <c r="J44" i="13"/>
  <c r="K44" i="13"/>
  <c r="L44" i="13"/>
  <c r="M44" i="13"/>
  <c r="N44" i="13"/>
  <c r="G45" i="13"/>
  <c r="H45" i="13"/>
  <c r="I45" i="13"/>
  <c r="J45" i="13"/>
  <c r="K45" i="13"/>
  <c r="L45" i="13"/>
  <c r="M45" i="13"/>
  <c r="N45" i="13"/>
  <c r="G46" i="13"/>
  <c r="H46" i="13"/>
  <c r="I46" i="13"/>
  <c r="J46" i="13"/>
  <c r="K46" i="13"/>
  <c r="L46" i="13"/>
  <c r="M46" i="13"/>
  <c r="N46" i="13"/>
  <c r="G47" i="13"/>
  <c r="H47" i="13"/>
  <c r="I47" i="13"/>
  <c r="J47" i="13"/>
  <c r="K47" i="13"/>
  <c r="L47" i="13"/>
  <c r="M47" i="13"/>
  <c r="N47" i="13"/>
  <c r="G48" i="13"/>
  <c r="H48" i="13"/>
  <c r="I48" i="13"/>
  <c r="J48" i="13"/>
  <c r="K48" i="13"/>
  <c r="L48" i="13"/>
  <c r="M48" i="13"/>
  <c r="N48" i="13"/>
  <c r="G49" i="13"/>
  <c r="H49" i="13"/>
  <c r="I49" i="13"/>
  <c r="J49" i="13"/>
  <c r="K49" i="13"/>
  <c r="L49" i="13"/>
  <c r="M49" i="13"/>
  <c r="N49" i="13"/>
  <c r="G50" i="13"/>
  <c r="H50" i="13"/>
  <c r="I50" i="13"/>
  <c r="J50" i="13"/>
  <c r="K50" i="13"/>
  <c r="L50" i="13"/>
  <c r="M50" i="13"/>
  <c r="N50" i="13"/>
  <c r="G51" i="13"/>
  <c r="H51" i="13"/>
  <c r="I51" i="13"/>
  <c r="J51" i="13"/>
  <c r="K51" i="13"/>
  <c r="L51" i="13"/>
  <c r="M51" i="13"/>
  <c r="N51" i="13"/>
  <c r="G52" i="13"/>
  <c r="H52" i="13"/>
  <c r="I52" i="13"/>
  <c r="J52" i="13"/>
  <c r="K52" i="13"/>
  <c r="L52" i="13"/>
  <c r="M52" i="13"/>
  <c r="N52" i="13"/>
  <c r="G53" i="13"/>
  <c r="H53" i="13"/>
  <c r="I53" i="13"/>
  <c r="J53" i="13"/>
  <c r="K53" i="13"/>
  <c r="L53" i="13"/>
  <c r="M53" i="13"/>
  <c r="N53" i="13"/>
  <c r="G54" i="13"/>
  <c r="H54" i="13"/>
  <c r="I54" i="13"/>
  <c r="J54" i="13"/>
  <c r="K54" i="13"/>
  <c r="L54" i="13"/>
  <c r="M54" i="13"/>
  <c r="N54" i="13"/>
  <c r="G55" i="13"/>
  <c r="H55" i="13"/>
  <c r="I55" i="13"/>
  <c r="J55" i="13"/>
  <c r="K55" i="13"/>
  <c r="L55" i="13"/>
  <c r="M55" i="13"/>
  <c r="N55" i="13"/>
  <c r="G56" i="13"/>
  <c r="H56" i="13"/>
  <c r="I56" i="13"/>
  <c r="J56" i="13"/>
  <c r="K56" i="13"/>
  <c r="L56" i="13"/>
  <c r="M56" i="13"/>
  <c r="N56" i="13"/>
  <c r="G57" i="13"/>
  <c r="H57" i="13"/>
  <c r="I57" i="13"/>
  <c r="J57" i="13"/>
  <c r="K57" i="13"/>
  <c r="L57" i="13"/>
  <c r="M57" i="13"/>
  <c r="N57" i="13"/>
  <c r="G58" i="13"/>
  <c r="H58" i="13"/>
  <c r="I58" i="13"/>
  <c r="J58" i="13"/>
  <c r="K58" i="13"/>
  <c r="L58" i="13"/>
  <c r="M58" i="13"/>
  <c r="N58" i="13"/>
  <c r="G59" i="13"/>
  <c r="H59" i="13"/>
  <c r="I59" i="13"/>
  <c r="J59" i="13"/>
  <c r="K59" i="13"/>
  <c r="L59" i="13"/>
  <c r="M59" i="13"/>
  <c r="N59" i="13"/>
  <c r="G60" i="13"/>
  <c r="H60" i="13"/>
  <c r="I60" i="13"/>
  <c r="J60" i="13"/>
  <c r="K60" i="13"/>
  <c r="L60" i="13"/>
  <c r="M60" i="13"/>
  <c r="N60" i="13"/>
  <c r="G61" i="13"/>
  <c r="H61" i="13"/>
  <c r="I61" i="13"/>
  <c r="J61" i="13"/>
  <c r="K61" i="13"/>
  <c r="L61" i="13"/>
  <c r="M61" i="13"/>
  <c r="N61" i="13"/>
  <c r="G62" i="13"/>
  <c r="H62" i="13"/>
  <c r="I62" i="13"/>
  <c r="J62" i="13"/>
  <c r="K62" i="13"/>
  <c r="L62" i="13"/>
  <c r="M62" i="13"/>
  <c r="N62" i="13"/>
  <c r="G63" i="13"/>
  <c r="H63" i="13"/>
  <c r="I63" i="13"/>
  <c r="J63" i="13"/>
  <c r="K63" i="13"/>
  <c r="L63" i="13"/>
  <c r="M63" i="13"/>
  <c r="N63" i="13"/>
  <c r="G64" i="13"/>
  <c r="H64" i="13"/>
  <c r="I64" i="13"/>
  <c r="J64" i="13"/>
  <c r="K64" i="13"/>
  <c r="L64" i="13"/>
  <c r="M64" i="13"/>
  <c r="N64" i="13"/>
  <c r="G65" i="13"/>
  <c r="H65" i="13"/>
  <c r="I65" i="13"/>
  <c r="J65" i="13"/>
  <c r="K65" i="13"/>
  <c r="L65" i="13"/>
  <c r="M65" i="13"/>
  <c r="N65" i="13"/>
  <c r="G66" i="13"/>
  <c r="H66" i="13"/>
  <c r="I66" i="13"/>
  <c r="J66" i="13"/>
  <c r="K66" i="13"/>
  <c r="L66" i="13"/>
  <c r="M66" i="13"/>
  <c r="N66" i="13"/>
  <c r="G67" i="13"/>
  <c r="H67" i="13"/>
  <c r="I67" i="13"/>
  <c r="J67" i="13"/>
  <c r="K67" i="13"/>
  <c r="L67" i="13"/>
  <c r="M67" i="13"/>
  <c r="N67" i="13"/>
  <c r="G68" i="13"/>
  <c r="H68" i="13"/>
  <c r="I68" i="13"/>
  <c r="J68" i="13"/>
  <c r="K68" i="13"/>
  <c r="L68" i="13"/>
  <c r="M68" i="13"/>
  <c r="N68" i="13"/>
  <c r="G69" i="13"/>
  <c r="H69" i="13"/>
  <c r="I69" i="13"/>
  <c r="J69" i="13"/>
  <c r="K69" i="13"/>
  <c r="L69" i="13"/>
  <c r="M69" i="13"/>
  <c r="N69" i="13"/>
  <c r="G70" i="13"/>
  <c r="H70" i="13"/>
  <c r="I70" i="13"/>
  <c r="J70" i="13"/>
  <c r="K70" i="13"/>
  <c r="L70" i="13"/>
  <c r="M70" i="13"/>
  <c r="N70" i="13"/>
  <c r="G71" i="13"/>
  <c r="H71" i="13"/>
  <c r="I71" i="13"/>
  <c r="J71" i="13"/>
  <c r="K71" i="13"/>
  <c r="L71" i="13"/>
  <c r="M71" i="13"/>
  <c r="N71" i="13"/>
  <c r="G72" i="13"/>
  <c r="H72" i="13"/>
  <c r="I72" i="13"/>
  <c r="J72" i="13"/>
  <c r="K72" i="13"/>
  <c r="L72" i="13"/>
  <c r="M72" i="13"/>
  <c r="N72" i="13"/>
  <c r="G73" i="13"/>
  <c r="H73" i="13"/>
  <c r="I73" i="13"/>
  <c r="J73" i="13"/>
  <c r="K73" i="13"/>
  <c r="L73" i="13"/>
  <c r="M73" i="13"/>
  <c r="N73" i="13"/>
  <c r="G74" i="13"/>
  <c r="H74" i="13"/>
  <c r="I74" i="13"/>
  <c r="J74" i="13"/>
  <c r="K74" i="13"/>
  <c r="L74" i="13"/>
  <c r="M74" i="13"/>
  <c r="N74" i="13"/>
  <c r="G75" i="13"/>
  <c r="H75" i="13"/>
  <c r="I75" i="13"/>
  <c r="J75" i="13"/>
  <c r="K75" i="13"/>
  <c r="L75" i="13"/>
  <c r="M75" i="13"/>
  <c r="N75" i="13"/>
  <c r="G76" i="13"/>
  <c r="H76" i="13"/>
  <c r="I76" i="13"/>
  <c r="J76" i="13"/>
  <c r="K76" i="13"/>
  <c r="L76" i="13"/>
  <c r="M76" i="13"/>
  <c r="N76" i="13"/>
  <c r="G77" i="13"/>
  <c r="H77" i="13"/>
  <c r="I77" i="13"/>
  <c r="J77" i="13"/>
  <c r="K77" i="13"/>
  <c r="L77" i="13"/>
  <c r="M77" i="13"/>
  <c r="N77" i="13"/>
  <c r="G78" i="13"/>
  <c r="H78" i="13"/>
  <c r="I78" i="13"/>
  <c r="J78" i="13"/>
  <c r="K78" i="13"/>
  <c r="L78" i="13"/>
  <c r="M78" i="13"/>
  <c r="N78" i="13"/>
  <c r="G79" i="13"/>
  <c r="H79" i="13"/>
  <c r="I79" i="13"/>
  <c r="J79" i="13"/>
  <c r="K79" i="13"/>
  <c r="L79" i="13"/>
  <c r="M79" i="13"/>
  <c r="N79" i="13"/>
  <c r="G80" i="13"/>
  <c r="H80" i="13"/>
  <c r="I80" i="13"/>
  <c r="J80" i="13"/>
  <c r="K80" i="13"/>
  <c r="L80" i="13"/>
  <c r="M80" i="13"/>
  <c r="N80" i="13"/>
  <c r="G81" i="13"/>
  <c r="H81" i="13"/>
  <c r="I81" i="13"/>
  <c r="J81" i="13"/>
  <c r="K81" i="13"/>
  <c r="L81" i="13"/>
  <c r="M81" i="13"/>
  <c r="N81" i="13"/>
  <c r="G82" i="13"/>
  <c r="H82" i="13"/>
  <c r="I82" i="13"/>
  <c r="J82" i="13"/>
  <c r="K82" i="13"/>
  <c r="L82" i="13"/>
  <c r="M82" i="13"/>
  <c r="N82" i="13"/>
  <c r="G83" i="13"/>
  <c r="H83" i="13"/>
  <c r="I83" i="13"/>
  <c r="J83" i="13"/>
  <c r="K83" i="13"/>
  <c r="L83" i="13"/>
  <c r="M83" i="13"/>
  <c r="N83" i="13"/>
  <c r="G84" i="13"/>
  <c r="H84" i="13"/>
  <c r="I84" i="13"/>
  <c r="J84" i="13"/>
  <c r="K84" i="13"/>
  <c r="L84" i="13"/>
  <c r="M84" i="13"/>
  <c r="N84" i="13"/>
  <c r="G85" i="13"/>
  <c r="H85" i="13"/>
  <c r="I85" i="13"/>
  <c r="J85" i="13"/>
  <c r="K85" i="13"/>
  <c r="L85" i="13"/>
  <c r="M85" i="13"/>
  <c r="N85" i="13"/>
  <c r="G86" i="13"/>
  <c r="H86" i="13"/>
  <c r="I86" i="13"/>
  <c r="J86" i="13"/>
  <c r="K86" i="13"/>
  <c r="L86" i="13"/>
  <c r="M86" i="13"/>
  <c r="N86" i="13"/>
  <c r="G87" i="13"/>
  <c r="H87" i="13"/>
  <c r="I87" i="13"/>
  <c r="J87" i="13"/>
  <c r="K87" i="13"/>
  <c r="L87" i="13"/>
  <c r="M87" i="13"/>
  <c r="N87" i="13"/>
  <c r="G88" i="13"/>
  <c r="H88" i="13"/>
  <c r="I88" i="13"/>
  <c r="J88" i="13"/>
  <c r="K88" i="13"/>
  <c r="L88" i="13"/>
  <c r="M88" i="13"/>
  <c r="N88" i="13"/>
  <c r="G89" i="13"/>
  <c r="H89" i="13"/>
  <c r="I89" i="13"/>
  <c r="J89" i="13"/>
  <c r="K89" i="13"/>
  <c r="L89" i="13"/>
  <c r="M89" i="13"/>
  <c r="N89" i="13"/>
  <c r="G90" i="13"/>
  <c r="H90" i="13"/>
  <c r="I90" i="13"/>
  <c r="J90" i="13"/>
  <c r="K90" i="13"/>
  <c r="L90" i="13"/>
  <c r="M90" i="13"/>
  <c r="N90" i="13"/>
  <c r="G91" i="13"/>
  <c r="H91" i="13"/>
  <c r="I91" i="13"/>
  <c r="J91" i="13"/>
  <c r="K91" i="13"/>
  <c r="L91" i="13"/>
  <c r="M91" i="13"/>
  <c r="N91" i="13"/>
  <c r="G92" i="13"/>
  <c r="H92" i="13"/>
  <c r="I92" i="13"/>
  <c r="J92" i="13"/>
  <c r="K92" i="13"/>
  <c r="L92" i="13"/>
  <c r="M92" i="13"/>
  <c r="N92" i="13"/>
  <c r="G93" i="13"/>
  <c r="H93" i="13"/>
  <c r="I93" i="13"/>
  <c r="J93" i="13"/>
  <c r="K93" i="13"/>
  <c r="L93" i="13"/>
  <c r="M93" i="13"/>
  <c r="N93" i="13"/>
  <c r="G94" i="13"/>
  <c r="H94" i="13"/>
  <c r="I94" i="13"/>
  <c r="J94" i="13"/>
  <c r="K94" i="13"/>
  <c r="L94" i="13"/>
  <c r="M94" i="13"/>
  <c r="N94" i="13"/>
  <c r="G95" i="13"/>
  <c r="H95" i="13"/>
  <c r="I95" i="13"/>
  <c r="J95" i="13"/>
  <c r="K95" i="13"/>
  <c r="L95" i="13"/>
  <c r="M95" i="13"/>
  <c r="N95" i="13"/>
  <c r="G96" i="13"/>
  <c r="H96" i="13"/>
  <c r="I96" i="13"/>
  <c r="J96" i="13"/>
  <c r="K96" i="13"/>
  <c r="L96" i="13"/>
  <c r="M96" i="13"/>
  <c r="N96" i="13"/>
  <c r="G97" i="13"/>
  <c r="H97" i="13"/>
  <c r="I97" i="13"/>
  <c r="J97" i="13"/>
  <c r="K97" i="13"/>
  <c r="L97" i="13"/>
  <c r="M97" i="13"/>
  <c r="N97" i="13"/>
  <c r="G98" i="13"/>
  <c r="H98" i="13"/>
  <c r="I98" i="13"/>
  <c r="J98" i="13"/>
  <c r="K98" i="13"/>
  <c r="L98" i="13"/>
  <c r="M98" i="13"/>
  <c r="N98" i="13"/>
  <c r="G99" i="13"/>
  <c r="H99" i="13"/>
  <c r="I99" i="13"/>
  <c r="J99" i="13"/>
  <c r="K99" i="13"/>
  <c r="L99" i="13"/>
  <c r="M99" i="13"/>
  <c r="N99" i="13"/>
  <c r="G100" i="13"/>
  <c r="H100" i="13"/>
  <c r="I100" i="13"/>
  <c r="J100" i="13"/>
  <c r="K100" i="13"/>
  <c r="L100" i="13"/>
  <c r="M100" i="13"/>
  <c r="N100" i="13"/>
  <c r="G101" i="13"/>
  <c r="H101" i="13"/>
  <c r="I101" i="13"/>
  <c r="J101" i="13"/>
  <c r="K101" i="13"/>
  <c r="L101" i="13"/>
  <c r="M101" i="13"/>
  <c r="N101" i="13"/>
  <c r="G102" i="13"/>
  <c r="H102" i="13"/>
  <c r="I102" i="13"/>
  <c r="J102" i="13"/>
  <c r="K102" i="13"/>
  <c r="L102" i="13"/>
  <c r="M102" i="13"/>
  <c r="N102" i="13"/>
  <c r="G103" i="13"/>
  <c r="H103" i="13"/>
  <c r="I103" i="13"/>
  <c r="J103" i="13"/>
  <c r="K103" i="13"/>
  <c r="L103" i="13"/>
  <c r="M103" i="13"/>
  <c r="N103" i="13"/>
  <c r="G104" i="13"/>
  <c r="H104" i="13"/>
  <c r="I104" i="13"/>
  <c r="J104" i="13"/>
  <c r="K104" i="13"/>
  <c r="L104" i="13"/>
  <c r="M104" i="13"/>
  <c r="N104" i="13"/>
  <c r="G105" i="13"/>
  <c r="H105" i="13"/>
  <c r="I105" i="13"/>
  <c r="J105" i="13"/>
  <c r="K105" i="13"/>
  <c r="L105" i="13"/>
  <c r="M105" i="13"/>
  <c r="N105" i="13"/>
  <c r="G106" i="13"/>
  <c r="H106" i="13"/>
  <c r="I106" i="13"/>
  <c r="J106" i="13"/>
  <c r="K106" i="13"/>
  <c r="L106" i="13"/>
  <c r="M106" i="13"/>
  <c r="N106" i="13"/>
  <c r="G107" i="13"/>
  <c r="H107" i="13"/>
  <c r="I107" i="13"/>
  <c r="J107" i="13"/>
  <c r="K107" i="13"/>
  <c r="L107" i="13"/>
  <c r="M107" i="13"/>
  <c r="N107" i="13"/>
  <c r="G108" i="13"/>
  <c r="H108" i="13"/>
  <c r="I108" i="13"/>
  <c r="J108" i="13"/>
  <c r="K108" i="13"/>
  <c r="L108" i="13"/>
  <c r="M108" i="13"/>
  <c r="N108" i="13"/>
  <c r="G109" i="13"/>
  <c r="H109" i="13"/>
  <c r="I109" i="13"/>
  <c r="J109" i="13"/>
  <c r="K109" i="13"/>
  <c r="L109" i="13"/>
  <c r="M109" i="13"/>
  <c r="N109" i="13"/>
  <c r="G110" i="13"/>
  <c r="H110" i="13"/>
  <c r="I110" i="13"/>
  <c r="J110" i="13"/>
  <c r="K110" i="13"/>
  <c r="L110" i="13"/>
  <c r="M110" i="13"/>
  <c r="N110" i="13"/>
  <c r="G111" i="13"/>
  <c r="H111" i="13"/>
  <c r="I111" i="13"/>
  <c r="J111" i="13"/>
  <c r="K111" i="13"/>
  <c r="L111" i="13"/>
  <c r="M111" i="13"/>
  <c r="N111" i="13"/>
  <c r="G112" i="13"/>
  <c r="H112" i="13"/>
  <c r="I112" i="13"/>
  <c r="J112" i="13"/>
  <c r="K112" i="13"/>
  <c r="L112" i="13"/>
  <c r="M112" i="13"/>
  <c r="N112" i="13"/>
  <c r="G113" i="13"/>
  <c r="H113" i="13"/>
  <c r="I113" i="13"/>
  <c r="J113" i="13"/>
  <c r="K113" i="13"/>
  <c r="L113" i="13"/>
  <c r="M113" i="13"/>
  <c r="N113" i="13"/>
  <c r="G114" i="13"/>
  <c r="H114" i="13"/>
  <c r="I114" i="13"/>
  <c r="J114" i="13"/>
  <c r="K114" i="13"/>
  <c r="L114" i="13"/>
  <c r="M114" i="13"/>
  <c r="N114" i="13"/>
  <c r="G115" i="13"/>
  <c r="H115" i="13"/>
  <c r="I115" i="13"/>
  <c r="J115" i="13"/>
  <c r="K115" i="13"/>
  <c r="L115" i="13"/>
  <c r="M115" i="13"/>
  <c r="N115" i="13"/>
  <c r="G116" i="13"/>
  <c r="H116" i="13"/>
  <c r="I116" i="13"/>
  <c r="J116" i="13"/>
  <c r="K116" i="13"/>
  <c r="L116" i="13"/>
  <c r="M116" i="13"/>
  <c r="N116" i="13"/>
  <c r="G117" i="13"/>
  <c r="H117" i="13"/>
  <c r="I117" i="13"/>
  <c r="J117" i="13"/>
  <c r="K117" i="13"/>
  <c r="L117" i="13"/>
  <c r="M117" i="13"/>
  <c r="N117" i="13"/>
  <c r="G118" i="13"/>
  <c r="H118" i="13"/>
  <c r="I118" i="13"/>
  <c r="J118" i="13"/>
  <c r="K118" i="13"/>
  <c r="L118" i="13"/>
  <c r="M118" i="13"/>
  <c r="N118" i="13"/>
  <c r="G119" i="13"/>
  <c r="H119" i="13"/>
  <c r="I119" i="13"/>
  <c r="J119" i="13"/>
  <c r="K119" i="13"/>
  <c r="L119" i="13"/>
  <c r="M119" i="13"/>
  <c r="N119" i="13"/>
  <c r="G120" i="13"/>
  <c r="H120" i="13"/>
  <c r="I120" i="13"/>
  <c r="J120" i="13"/>
  <c r="K120" i="13"/>
  <c r="L120" i="13"/>
  <c r="M120" i="13"/>
  <c r="N120" i="13"/>
  <c r="G121" i="13"/>
  <c r="H121" i="13"/>
  <c r="I121" i="13"/>
  <c r="J121" i="13"/>
  <c r="K121" i="13"/>
  <c r="L121" i="13"/>
  <c r="M121" i="13"/>
  <c r="N121" i="13"/>
  <c r="G122" i="13"/>
  <c r="H122" i="13"/>
  <c r="I122" i="13"/>
  <c r="J122" i="13"/>
  <c r="K122" i="13"/>
  <c r="L122" i="13"/>
  <c r="M122" i="13"/>
  <c r="N122" i="13"/>
  <c r="G123" i="13"/>
  <c r="H123" i="13"/>
  <c r="I123" i="13"/>
  <c r="J123" i="13"/>
  <c r="K123" i="13"/>
  <c r="L123" i="13"/>
  <c r="M123" i="13"/>
  <c r="N123" i="13"/>
  <c r="G124" i="13"/>
  <c r="H124" i="13"/>
  <c r="I124" i="13"/>
  <c r="J124" i="13"/>
  <c r="K124" i="13"/>
  <c r="L124" i="13"/>
  <c r="M124" i="13"/>
  <c r="N124" i="13"/>
  <c r="G125" i="13"/>
  <c r="H125" i="13"/>
  <c r="I125" i="13"/>
  <c r="J125" i="13"/>
  <c r="K125" i="13"/>
  <c r="L125" i="13"/>
  <c r="M125" i="13"/>
  <c r="N125" i="13"/>
  <c r="G126" i="13"/>
  <c r="H126" i="13"/>
  <c r="I126" i="13"/>
  <c r="J126" i="13"/>
  <c r="K126" i="13"/>
  <c r="L126" i="13"/>
  <c r="M126" i="13"/>
  <c r="N126" i="13"/>
  <c r="G127" i="13"/>
  <c r="H127" i="13"/>
  <c r="I127" i="13"/>
  <c r="J127" i="13"/>
  <c r="K127" i="13"/>
  <c r="L127" i="13"/>
  <c r="M127" i="13"/>
  <c r="N127" i="13"/>
  <c r="G128" i="13"/>
  <c r="H128" i="13"/>
  <c r="I128" i="13"/>
  <c r="J128" i="13"/>
  <c r="K128" i="13"/>
  <c r="L128" i="13"/>
  <c r="M128" i="13"/>
  <c r="N128" i="13"/>
  <c r="G129" i="13"/>
  <c r="H129" i="13"/>
  <c r="I129" i="13"/>
  <c r="J129" i="13"/>
  <c r="K129" i="13"/>
  <c r="L129" i="13"/>
  <c r="M129" i="13"/>
  <c r="N129" i="13"/>
  <c r="G130" i="13"/>
  <c r="H130" i="13"/>
  <c r="I130" i="13"/>
  <c r="J130" i="13"/>
  <c r="K130" i="13"/>
  <c r="L130" i="13"/>
  <c r="M130" i="13"/>
  <c r="N130" i="13"/>
  <c r="G131" i="13"/>
  <c r="H131" i="13"/>
  <c r="I131" i="13"/>
  <c r="J131" i="13"/>
  <c r="K131" i="13"/>
  <c r="L131" i="13"/>
  <c r="M131" i="13"/>
  <c r="N131" i="13"/>
  <c r="G132" i="13"/>
  <c r="H132" i="13"/>
  <c r="I132" i="13"/>
  <c r="J132" i="13"/>
  <c r="K132" i="13"/>
  <c r="L132" i="13"/>
  <c r="M132" i="13"/>
  <c r="N132" i="13"/>
  <c r="G133" i="13"/>
  <c r="H133" i="13"/>
  <c r="I133" i="13"/>
  <c r="J133" i="13"/>
  <c r="K133" i="13"/>
  <c r="L133" i="13"/>
  <c r="M133" i="13"/>
  <c r="N133" i="13"/>
  <c r="G134" i="13"/>
  <c r="H134" i="13"/>
  <c r="I134" i="13"/>
  <c r="J134" i="13"/>
  <c r="K134" i="13"/>
  <c r="L134" i="13"/>
  <c r="M134" i="13"/>
  <c r="N134" i="13"/>
  <c r="G135" i="13"/>
  <c r="H135" i="13"/>
  <c r="I135" i="13"/>
  <c r="J135" i="13"/>
  <c r="K135" i="13"/>
  <c r="L135" i="13"/>
  <c r="M135" i="13"/>
  <c r="N135" i="13"/>
  <c r="G136" i="13"/>
  <c r="H136" i="13"/>
  <c r="I136" i="13"/>
  <c r="J136" i="13"/>
  <c r="K136" i="13"/>
  <c r="L136" i="13"/>
  <c r="M136" i="13"/>
  <c r="N136" i="13"/>
  <c r="G137" i="13"/>
  <c r="H137" i="13"/>
  <c r="I137" i="13"/>
  <c r="J137" i="13"/>
  <c r="K137" i="13"/>
  <c r="L137" i="13"/>
  <c r="M137" i="13"/>
  <c r="N137" i="13"/>
  <c r="G138" i="13"/>
  <c r="H138" i="13"/>
  <c r="I138" i="13"/>
  <c r="J138" i="13"/>
  <c r="K138" i="13"/>
  <c r="L138" i="13"/>
  <c r="M138" i="13"/>
  <c r="N138" i="13"/>
  <c r="G7" i="13"/>
  <c r="H7" i="13"/>
  <c r="I7" i="13"/>
  <c r="J7" i="13"/>
  <c r="K7" i="13"/>
  <c r="L7" i="13"/>
  <c r="M7" i="13"/>
  <c r="N7" i="13"/>
  <c r="G8" i="13"/>
  <c r="H8" i="13"/>
  <c r="I8" i="13"/>
  <c r="J8" i="13"/>
  <c r="K8" i="13"/>
  <c r="L8" i="13"/>
  <c r="M8" i="13"/>
  <c r="N8" i="13"/>
  <c r="G9" i="13"/>
  <c r="H9" i="13"/>
  <c r="I9" i="13"/>
  <c r="J9" i="13"/>
  <c r="K9" i="13"/>
  <c r="L9" i="13"/>
  <c r="M9" i="13"/>
  <c r="N9" i="13"/>
  <c r="G10" i="13"/>
  <c r="H10" i="13"/>
  <c r="I10" i="13"/>
  <c r="J10" i="13"/>
  <c r="K10" i="13"/>
  <c r="L10" i="13"/>
  <c r="M10" i="13"/>
  <c r="N10" i="13"/>
  <c r="G6" i="13"/>
  <c r="H6" i="13"/>
  <c r="I6" i="13"/>
  <c r="J6" i="13"/>
  <c r="K6" i="13"/>
  <c r="L6" i="13"/>
  <c r="M6" i="13"/>
  <c r="N6" i="13"/>
  <c r="N5" i="13"/>
  <c r="M5" i="13"/>
  <c r="L5" i="13"/>
  <c r="K5" i="13"/>
  <c r="J5" i="13"/>
  <c r="I5" i="13"/>
  <c r="H5" i="13"/>
  <c r="G5" i="13"/>
</calcChain>
</file>

<file path=xl/sharedStrings.xml><?xml version="1.0" encoding="utf-8"?>
<sst xmlns="http://schemas.openxmlformats.org/spreadsheetml/2006/main" count="293" uniqueCount="170">
  <si>
    <t>Mask seal</t>
  </si>
  <si>
    <t>Male - facial hair</t>
  </si>
  <si>
    <t>Mallampati grade</t>
  </si>
  <si>
    <r>
      <t>●</t>
    </r>
    <r>
      <rPr>
        <sz val="7"/>
        <color theme="1"/>
        <rFont val="Times New Roman"/>
        <family val="1"/>
      </rPr>
      <t xml:space="preserve">         </t>
    </r>
    <r>
      <rPr>
        <sz val="12"/>
        <color theme="1"/>
        <rFont val="Times New Roman"/>
        <family val="1"/>
      </rPr>
      <t>Class I visualization of the soft palate, fauces, uvula, and both anterior and posterior pillars</t>
    </r>
  </si>
  <si>
    <r>
      <t>●</t>
    </r>
    <r>
      <rPr>
        <sz val="7"/>
        <color theme="1"/>
        <rFont val="Times New Roman"/>
        <family val="1"/>
      </rPr>
      <t xml:space="preserve">         </t>
    </r>
    <r>
      <rPr>
        <sz val="12"/>
        <color theme="1"/>
        <rFont val="Times New Roman"/>
        <family val="1"/>
      </rPr>
      <t>Class II visualization of the soft palate, fauces, and uvula</t>
    </r>
  </si>
  <si>
    <r>
      <t>●</t>
    </r>
    <r>
      <rPr>
        <sz val="7"/>
        <color theme="1"/>
        <rFont val="Times New Roman"/>
        <family val="1"/>
      </rPr>
      <t xml:space="preserve">         </t>
    </r>
    <r>
      <rPr>
        <sz val="12"/>
        <color theme="1"/>
        <rFont val="Times New Roman"/>
        <family val="1"/>
      </rPr>
      <t>Class III visualization of the soft palate and the base of the uvula</t>
    </r>
  </si>
  <si>
    <r>
      <t>●</t>
    </r>
    <r>
      <rPr>
        <sz val="7"/>
        <color theme="1"/>
        <rFont val="Times New Roman"/>
        <family val="1"/>
      </rPr>
      <t xml:space="preserve">         </t>
    </r>
    <r>
      <rPr>
        <sz val="12"/>
        <color theme="1"/>
        <rFont val="Times New Roman"/>
        <family val="1"/>
      </rPr>
      <t>Class IV no soft palate visualization</t>
    </r>
  </si>
  <si>
    <t>Minimal jaw protrustion</t>
  </si>
  <si>
    <t>Obese</t>
  </si>
  <si>
    <t>Obstructing lesions</t>
  </si>
  <si>
    <t>Age</t>
  </si>
  <si>
    <t>No teeth</t>
  </si>
  <si>
    <t>Neck radiation</t>
  </si>
  <si>
    <t>Snores (sleep apnea)</t>
  </si>
  <si>
    <t>Stiff</t>
  </si>
  <si>
    <t>Neck or jaw</t>
  </si>
  <si>
    <t>Look externally</t>
  </si>
  <si>
    <t>Evaluate 3-3-2</t>
  </si>
  <si>
    <t>Mouth opening greater than 3 fingerbreadths</t>
  </si>
  <si>
    <t>Hyoid-chin distance greater than 3 fingerbreadths</t>
  </si>
  <si>
    <t>Thyroid cartilage-mouth floor distance greater than 2 fingerbreadths</t>
  </si>
  <si>
    <t>Obstruction</t>
  </si>
  <si>
    <t>Neck mobility</t>
  </si>
  <si>
    <r>
      <t>2.1</t>
    </r>
    <r>
      <rPr>
        <b/>
        <i/>
        <sz val="7"/>
        <color theme="1"/>
        <rFont val="Times New Roman"/>
        <family val="1"/>
      </rPr>
      <t xml:space="preserve">            </t>
    </r>
    <r>
      <rPr>
        <b/>
        <i/>
        <sz val="14"/>
        <color theme="1"/>
        <rFont val="Times New Roman"/>
        <family val="1"/>
      </rPr>
      <t>Pulse oximeter</t>
    </r>
  </si>
  <si>
    <r>
      <t>2.2</t>
    </r>
    <r>
      <rPr>
        <b/>
        <i/>
        <sz val="7"/>
        <color theme="1"/>
        <rFont val="Times New Roman"/>
        <family val="1"/>
      </rPr>
      <t xml:space="preserve">            </t>
    </r>
    <r>
      <rPr>
        <b/>
        <i/>
        <sz val="14"/>
        <color theme="1"/>
        <rFont val="Times New Roman"/>
        <family val="1"/>
      </rPr>
      <t>Oxygen source</t>
    </r>
  </si>
  <si>
    <r>
      <t>2.3</t>
    </r>
    <r>
      <rPr>
        <b/>
        <i/>
        <sz val="7"/>
        <color theme="1"/>
        <rFont val="Times New Roman"/>
        <family val="1"/>
      </rPr>
      <t xml:space="preserve">            </t>
    </r>
    <r>
      <rPr>
        <b/>
        <i/>
        <sz val="14"/>
        <color theme="1"/>
        <rFont val="Times New Roman"/>
        <family val="1"/>
      </rPr>
      <t>Suction is working</t>
    </r>
  </si>
  <si>
    <r>
      <t>2.4</t>
    </r>
    <r>
      <rPr>
        <b/>
        <i/>
        <sz val="7"/>
        <color theme="1"/>
        <rFont val="Times New Roman"/>
        <family val="1"/>
      </rPr>
      <t xml:space="preserve">            </t>
    </r>
    <r>
      <rPr>
        <b/>
        <i/>
        <sz val="14"/>
        <color theme="1"/>
        <rFont val="Times New Roman"/>
        <family val="1"/>
      </rPr>
      <t>Bag mask ventilation</t>
    </r>
  </si>
  <si>
    <t>Nasal pharyngeal</t>
  </si>
  <si>
    <t>Oral pharyngeal</t>
  </si>
  <si>
    <r>
      <t>2.5</t>
    </r>
    <r>
      <rPr>
        <b/>
        <i/>
        <sz val="7"/>
        <color theme="1"/>
        <rFont val="Times New Roman"/>
        <family val="1"/>
      </rPr>
      <t xml:space="preserve">            </t>
    </r>
    <r>
      <rPr>
        <b/>
        <i/>
        <sz val="14"/>
        <color theme="1"/>
        <rFont val="Times New Roman"/>
        <family val="1"/>
      </rPr>
      <t>Direct laryngoscope intubation</t>
    </r>
  </si>
  <si>
    <t>Straight</t>
  </si>
  <si>
    <t>Curved</t>
  </si>
  <si>
    <t>Lubricate stylet lightly</t>
  </si>
  <si>
    <t>Insert stylet until it matches the endpoint of the ETT</t>
  </si>
  <si>
    <t>Bend the stylet and tube at the superior end of the cuff no more than 35°</t>
  </si>
  <si>
    <r>
      <t>3.1</t>
    </r>
    <r>
      <rPr>
        <b/>
        <i/>
        <sz val="7"/>
        <color theme="1"/>
        <rFont val="Times New Roman"/>
        <family val="1"/>
      </rPr>
      <t xml:space="preserve">            </t>
    </r>
    <r>
      <rPr>
        <b/>
        <i/>
        <sz val="14"/>
        <color theme="1"/>
        <rFont val="Times New Roman"/>
        <family val="1"/>
      </rPr>
      <t>Position</t>
    </r>
  </si>
  <si>
    <t>Head slightly elevated</t>
  </si>
  <si>
    <r>
      <t>3.2</t>
    </r>
    <r>
      <rPr>
        <b/>
        <i/>
        <sz val="7"/>
        <color theme="1"/>
        <rFont val="Times New Roman"/>
        <family val="1"/>
      </rPr>
      <t xml:space="preserve">            </t>
    </r>
    <r>
      <rPr>
        <b/>
        <i/>
        <sz val="14"/>
        <color theme="1"/>
        <rFont val="Times New Roman"/>
        <family val="1"/>
      </rPr>
      <t>Preoxygenate patient</t>
    </r>
  </si>
  <si>
    <r>
      <t>3.3</t>
    </r>
    <r>
      <rPr>
        <b/>
        <i/>
        <sz val="7"/>
        <color theme="1"/>
        <rFont val="Times New Roman"/>
        <family val="1"/>
      </rPr>
      <t xml:space="preserve">            </t>
    </r>
    <r>
      <rPr>
        <b/>
        <i/>
        <sz val="14"/>
        <color theme="1"/>
        <rFont val="Times New Roman"/>
        <family val="1"/>
      </rPr>
      <t>Medication</t>
    </r>
  </si>
  <si>
    <t>Propofol</t>
  </si>
  <si>
    <t>Fentanyl</t>
  </si>
  <si>
    <t>Benzodiazepine</t>
  </si>
  <si>
    <t>Methohexital</t>
  </si>
  <si>
    <t>Rocuronium</t>
  </si>
  <si>
    <t>Vecuronium</t>
  </si>
  <si>
    <t>Cisatracurium</t>
  </si>
  <si>
    <t>Mivacurium</t>
  </si>
  <si>
    <t>Succinylcholine</t>
  </si>
  <si>
    <r>
      <t>4.1</t>
    </r>
    <r>
      <rPr>
        <b/>
        <i/>
        <sz val="7"/>
        <color theme="1"/>
        <rFont val="Times New Roman"/>
        <family val="1"/>
      </rPr>
      <t xml:space="preserve">            </t>
    </r>
    <r>
      <rPr>
        <b/>
        <i/>
        <sz val="14"/>
        <color theme="1"/>
        <rFont val="Times New Roman"/>
        <family val="1"/>
      </rPr>
      <t>Bag mask ventilation</t>
    </r>
  </si>
  <si>
    <t>Mask is held with the left hand</t>
  </si>
  <si>
    <t>Placed against face using the thumb and index finger</t>
  </si>
  <si>
    <t>Remaining 3 fingers are clasp under patient's jaw to provide jaw thrust</t>
  </si>
  <si>
    <t>Both hands are used to hold the mask in place</t>
  </si>
  <si>
    <t>Assistant squeezes ambu bag</t>
  </si>
  <si>
    <r>
      <t>4.2</t>
    </r>
    <r>
      <rPr>
        <b/>
        <i/>
        <sz val="7"/>
        <color theme="1"/>
        <rFont val="Times New Roman"/>
        <family val="1"/>
      </rPr>
      <t xml:space="preserve">            </t>
    </r>
    <r>
      <rPr>
        <b/>
        <i/>
        <sz val="14"/>
        <color theme="1"/>
        <rFont val="Times New Roman"/>
        <family val="1"/>
      </rPr>
      <t>Direct laryngoscopy</t>
    </r>
  </si>
  <si>
    <t>Held with left hand</t>
  </si>
  <si>
    <t>The handle faces upward towards the thumb, such that the blade is an extension of the forearm and extends out away from the arm</t>
  </si>
  <si>
    <t>Finger tips should be near the joint of the handle and blade</t>
  </si>
  <si>
    <t>Using thumb and finger of right hand</t>
  </si>
  <si>
    <t>Insert at right side of mouth</t>
  </si>
  <si>
    <t>Avoid entrapment of lips</t>
  </si>
  <si>
    <t>Sweep blade and tongue left until midline is reached</t>
  </si>
  <si>
    <t>Curved blade in vallecula and engage hyoepiglottic ligament</t>
  </si>
  <si>
    <t>Straight blade under epiglottis</t>
  </si>
  <si>
    <t>Care must be taken to not rock the blade against the patient's teeth</t>
  </si>
  <si>
    <t>Moving of clinician's head maybe needed for best viewing</t>
  </si>
  <si>
    <t>Tracheal manipulation can be used to improve view</t>
  </si>
  <si>
    <t>Consider use of intubating stylet (gum elastic bougie) if suboptimal view</t>
  </si>
  <si>
    <t>~21-24cm mark will be at the patients incisors in adult patient</t>
  </si>
  <si>
    <t>Care must be taken not to knock teeth with the blade when removing</t>
  </si>
  <si>
    <t>Use the minimal amount of pressure needed to prevent leakage of air</t>
  </si>
  <si>
    <r>
      <t>5.1</t>
    </r>
    <r>
      <rPr>
        <b/>
        <i/>
        <sz val="7"/>
        <color theme="1"/>
        <rFont val="Times New Roman"/>
        <family val="1"/>
      </rPr>
      <t xml:space="preserve">            </t>
    </r>
    <r>
      <rPr>
        <b/>
        <i/>
        <sz val="14"/>
        <color theme="1"/>
        <rFont val="Times New Roman"/>
        <family val="1"/>
      </rPr>
      <t>Auscultate lungs and stomach</t>
    </r>
  </si>
  <si>
    <t>Deflate ETT cuff</t>
  </si>
  <si>
    <t>Retract ETT 2-3 cm</t>
  </si>
  <si>
    <t>Inflate cuff</t>
  </si>
  <si>
    <t>Auscultate lungs and stomach again</t>
  </si>
  <si>
    <t>Remove ETT from patient</t>
  </si>
  <si>
    <t>Attempt securing airway again</t>
  </si>
  <si>
    <r>
      <t>5.2</t>
    </r>
    <r>
      <rPr>
        <b/>
        <i/>
        <sz val="7"/>
        <color theme="1"/>
        <rFont val="Times New Roman"/>
        <family val="1"/>
      </rPr>
      <t xml:space="preserve">            </t>
    </r>
    <r>
      <rPr>
        <b/>
        <i/>
        <sz val="14"/>
        <color theme="1"/>
        <rFont val="Times New Roman"/>
        <family val="1"/>
      </rPr>
      <t>Check for mist on tube</t>
    </r>
  </si>
  <si>
    <r>
      <t>5.3</t>
    </r>
    <r>
      <rPr>
        <b/>
        <i/>
        <sz val="7"/>
        <color theme="1"/>
        <rFont val="Times New Roman"/>
        <family val="1"/>
      </rPr>
      <t xml:space="preserve">            </t>
    </r>
    <r>
      <rPr>
        <b/>
        <i/>
        <sz val="14"/>
        <color theme="1"/>
        <rFont val="Times New Roman"/>
        <family val="1"/>
      </rPr>
      <t>Evaluate compliance of ambu bag</t>
    </r>
  </si>
  <si>
    <r>
      <t>5.4</t>
    </r>
    <r>
      <rPr>
        <b/>
        <i/>
        <sz val="7"/>
        <color theme="1"/>
        <rFont val="Times New Roman"/>
        <family val="1"/>
      </rPr>
      <t xml:space="preserve">            </t>
    </r>
    <r>
      <rPr>
        <b/>
        <i/>
        <sz val="14"/>
        <color theme="1"/>
        <rFont val="Times New Roman"/>
        <family val="1"/>
      </rPr>
      <t>Check CO2</t>
    </r>
  </si>
  <si>
    <t>Measure after 5 breaths</t>
  </si>
  <si>
    <t>Ensure proper color</t>
  </si>
  <si>
    <t>Ensure that CO2 is present and persists for 5 breaths</t>
  </si>
  <si>
    <t>14 2 3 5 6 7 8 9 1 15</t>
  </si>
  <si>
    <t>1. Describe medications used to prepare a patient for endotracheal intubation.</t>
  </si>
  <si>
    <t>2. Identify equipment needed for endotracheal intubation</t>
  </si>
  <si>
    <t>3. Relate position of patient head and neck to optimal laryngeal view</t>
  </si>
  <si>
    <t>4. Distinguish features of normal and difficult airway anatomy</t>
  </si>
  <si>
    <t>5. Employ proper technique for insertion of direct laryngoscopy blade (initial insertion, direction of movement, correction application of force)</t>
  </si>
  <si>
    <t>6. Adjust blade appropriately to obtain optimal laryngeal view</t>
  </si>
  <si>
    <t>7. Avoid injury to the patient with laryngoscope or endotracheal tube (lips, teeth, oropharyngeal tissues, larynx, trachea)</t>
  </si>
  <si>
    <t>8. Ensure proper placement of endotracheal tube</t>
  </si>
  <si>
    <t>Learning objectives</t>
  </si>
  <si>
    <t>1 Examination to predict difficulties</t>
  </si>
  <si>
    <t>1.2 Direct laryngoscopy intubation</t>
  </si>
  <si>
    <t>1.1 Bag mask ventilation</t>
  </si>
  <si>
    <r>
      <t>1.1.1</t>
    </r>
    <r>
      <rPr>
        <sz val="7"/>
        <color theme="1"/>
        <rFont val="Times New Roman"/>
        <family val="1"/>
      </rPr>
      <t> </t>
    </r>
    <r>
      <rPr>
        <sz val="14"/>
        <color theme="1"/>
        <rFont val="Times New Roman"/>
        <family val="1"/>
      </rPr>
      <t>MOANS</t>
    </r>
  </si>
  <si>
    <r>
      <t>1.2.1</t>
    </r>
    <r>
      <rPr>
        <sz val="7"/>
        <color theme="1"/>
        <rFont val="Times New Roman"/>
        <family val="1"/>
      </rPr>
      <t xml:space="preserve">    </t>
    </r>
    <r>
      <rPr>
        <sz val="14"/>
        <color theme="1"/>
        <rFont val="Times New Roman"/>
        <family val="1"/>
      </rPr>
      <t>LEMON</t>
    </r>
  </si>
  <si>
    <r>
      <t>1.2.2</t>
    </r>
    <r>
      <rPr>
        <sz val="7"/>
        <color theme="1"/>
        <rFont val="Times New Roman"/>
        <family val="1"/>
      </rPr>
      <t xml:space="preserve">    </t>
    </r>
    <r>
      <rPr>
        <sz val="14"/>
        <color theme="1"/>
        <rFont val="Times New Roman"/>
        <family val="1"/>
      </rPr>
      <t>Wilson risk score</t>
    </r>
  </si>
  <si>
    <r>
      <t>1.2.3</t>
    </r>
    <r>
      <rPr>
        <sz val="7"/>
        <color theme="1"/>
        <rFont val="Times New Roman"/>
        <family val="1"/>
      </rPr>
      <t xml:space="preserve">    </t>
    </r>
    <r>
      <rPr>
        <sz val="14"/>
        <color theme="1"/>
        <rFont val="Times New Roman"/>
        <family val="1"/>
      </rPr>
      <t>Sternomental distance</t>
    </r>
  </si>
  <si>
    <r>
      <t>2.4.1</t>
    </r>
    <r>
      <rPr>
        <sz val="7"/>
        <color theme="1"/>
        <rFont val="Times New Roman"/>
        <family val="1"/>
      </rPr>
      <t xml:space="preserve">    </t>
    </r>
    <r>
      <rPr>
        <sz val="14"/>
        <color theme="1"/>
        <rFont val="Times New Roman"/>
        <family val="1"/>
      </rPr>
      <t>Oxygen connector tubing</t>
    </r>
  </si>
  <si>
    <r>
      <t>2.4.2</t>
    </r>
    <r>
      <rPr>
        <sz val="7"/>
        <color theme="1"/>
        <rFont val="Times New Roman"/>
        <family val="1"/>
      </rPr>
      <t xml:space="preserve">    </t>
    </r>
    <r>
      <rPr>
        <sz val="14"/>
        <color theme="1"/>
        <rFont val="Times New Roman"/>
        <family val="1"/>
      </rPr>
      <t>Suction</t>
    </r>
  </si>
  <si>
    <r>
      <t>2.4.3</t>
    </r>
    <r>
      <rPr>
        <sz val="7"/>
        <color theme="1"/>
        <rFont val="Times New Roman"/>
        <family val="1"/>
      </rPr>
      <t xml:space="preserve">    </t>
    </r>
    <r>
      <rPr>
        <sz val="14"/>
        <color theme="1"/>
        <rFont val="Times New Roman"/>
        <family val="1"/>
      </rPr>
      <t>Airway</t>
    </r>
  </si>
  <si>
    <r>
      <t>2.4.4</t>
    </r>
    <r>
      <rPr>
        <sz val="7"/>
        <color theme="1"/>
        <rFont val="Times New Roman"/>
        <family val="1"/>
      </rPr>
      <t xml:space="preserve">    </t>
    </r>
    <r>
      <rPr>
        <sz val="14"/>
        <color theme="1"/>
        <rFont val="Times New Roman"/>
        <family val="1"/>
      </rPr>
      <t>Ambu bag (resuscitator bag) and mask</t>
    </r>
  </si>
  <si>
    <r>
      <t>2.5.1</t>
    </r>
    <r>
      <rPr>
        <sz val="7"/>
        <color theme="1"/>
        <rFont val="Times New Roman"/>
        <family val="1"/>
      </rPr>
      <t xml:space="preserve">    </t>
    </r>
    <r>
      <rPr>
        <sz val="14"/>
        <color theme="1"/>
        <rFont val="Times New Roman"/>
        <family val="1"/>
      </rPr>
      <t>Laryngoscope blades</t>
    </r>
  </si>
  <si>
    <r>
      <t>2.5.2</t>
    </r>
    <r>
      <rPr>
        <sz val="7"/>
        <color theme="1"/>
        <rFont val="Times New Roman"/>
        <family val="1"/>
      </rPr>
      <t xml:space="preserve">    </t>
    </r>
    <r>
      <rPr>
        <sz val="14"/>
        <color theme="1"/>
        <rFont val="Times New Roman"/>
        <family val="1"/>
      </rPr>
      <t>Laryngoscope light and handle</t>
    </r>
  </si>
  <si>
    <r>
      <t>2.5.3</t>
    </r>
    <r>
      <rPr>
        <sz val="7"/>
        <color theme="1"/>
        <rFont val="Times New Roman"/>
        <family val="1"/>
      </rPr>
      <t xml:space="preserve">    </t>
    </r>
    <r>
      <rPr>
        <sz val="14"/>
        <color theme="1"/>
        <rFont val="Times New Roman"/>
        <family val="1"/>
      </rPr>
      <t>Endotracheal tube (ETT)</t>
    </r>
  </si>
  <si>
    <r>
      <t>2.5.4</t>
    </r>
    <r>
      <rPr>
        <sz val="7"/>
        <color theme="1"/>
        <rFont val="Times New Roman"/>
        <family val="1"/>
      </rPr>
      <t xml:space="preserve">    </t>
    </r>
    <r>
      <rPr>
        <sz val="14"/>
        <color theme="1"/>
        <rFont val="Times New Roman"/>
        <family val="1"/>
      </rPr>
      <t>Stylet</t>
    </r>
  </si>
  <si>
    <r>
      <t>2.5.5</t>
    </r>
    <r>
      <rPr>
        <sz val="7"/>
        <color theme="1"/>
        <rFont val="Times New Roman"/>
        <family val="1"/>
      </rPr>
      <t xml:space="preserve">    </t>
    </r>
    <r>
      <rPr>
        <sz val="14"/>
        <color theme="1"/>
        <rFont val="Times New Roman"/>
        <family val="1"/>
      </rPr>
      <t>Cuff on endotracheal tube</t>
    </r>
  </si>
  <si>
    <r>
      <t>3.1.1</t>
    </r>
    <r>
      <rPr>
        <sz val="7"/>
        <color theme="1"/>
        <rFont val="Times New Roman"/>
        <family val="1"/>
      </rPr>
      <t xml:space="preserve">    </t>
    </r>
    <r>
      <rPr>
        <sz val="14"/>
        <color theme="1"/>
        <rFont val="Times New Roman"/>
        <family val="1"/>
      </rPr>
      <t>Place patient in supine position</t>
    </r>
  </si>
  <si>
    <r>
      <t>3.1.2</t>
    </r>
    <r>
      <rPr>
        <sz val="7"/>
        <color theme="1"/>
        <rFont val="Times New Roman"/>
        <family val="1"/>
      </rPr>
      <t xml:space="preserve">    </t>
    </r>
    <r>
      <rPr>
        <sz val="14"/>
        <color theme="1"/>
        <rFont val="Times New Roman"/>
        <family val="1"/>
      </rPr>
      <t>Place patient in sniffing position</t>
    </r>
  </si>
  <si>
    <r>
      <t>3.2.1</t>
    </r>
    <r>
      <rPr>
        <sz val="7"/>
        <color theme="1"/>
        <rFont val="Times New Roman"/>
        <family val="1"/>
      </rPr>
      <t xml:space="preserve">    </t>
    </r>
    <r>
      <rPr>
        <sz val="14"/>
        <color theme="1"/>
        <rFont val="Times New Roman"/>
        <family val="1"/>
      </rPr>
      <t>Ensure good mask seal</t>
    </r>
  </si>
  <si>
    <r>
      <t>3.2.2</t>
    </r>
    <r>
      <rPr>
        <sz val="7"/>
        <color theme="1"/>
        <rFont val="Times New Roman"/>
        <family val="1"/>
      </rPr>
      <t xml:space="preserve">    </t>
    </r>
    <r>
      <rPr>
        <sz val="14"/>
        <color theme="1"/>
        <rFont val="Times New Roman"/>
        <family val="1"/>
      </rPr>
      <t>Provide 100% oxygen to patient via facemask</t>
    </r>
  </si>
  <si>
    <r>
      <t>3.3.1</t>
    </r>
    <r>
      <rPr>
        <sz val="7"/>
        <color theme="1"/>
        <rFont val="Times New Roman"/>
        <family val="1"/>
      </rPr>
      <t xml:space="preserve">    </t>
    </r>
    <r>
      <rPr>
        <sz val="14"/>
        <color theme="1"/>
        <rFont val="Times New Roman"/>
        <family val="1"/>
      </rPr>
      <t>Sedation/Induction</t>
    </r>
  </si>
  <si>
    <r>
      <t>3.3.2</t>
    </r>
    <r>
      <rPr>
        <sz val="7"/>
        <color theme="1"/>
        <rFont val="Times New Roman"/>
        <family val="1"/>
      </rPr>
      <t xml:space="preserve">    </t>
    </r>
    <r>
      <rPr>
        <sz val="14"/>
        <color theme="1"/>
        <rFont val="Times New Roman"/>
        <family val="1"/>
      </rPr>
      <t>Muscle relaxant (paralytic)</t>
    </r>
  </si>
  <si>
    <r>
      <t>4.1.1</t>
    </r>
    <r>
      <rPr>
        <sz val="7"/>
        <color theme="1"/>
        <rFont val="Times New Roman"/>
        <family val="1"/>
      </rPr>
      <t xml:space="preserve">    </t>
    </r>
    <r>
      <rPr>
        <sz val="14"/>
        <color theme="1"/>
        <rFont val="Times New Roman"/>
        <family val="1"/>
      </rPr>
      <t>Once patient is asleep perform chin lift / jaw thrust</t>
    </r>
  </si>
  <si>
    <r>
      <t>4.1.2</t>
    </r>
    <r>
      <rPr>
        <sz val="7"/>
        <color theme="1"/>
        <rFont val="Times New Roman"/>
        <family val="1"/>
      </rPr>
      <t xml:space="preserve">    </t>
    </r>
    <r>
      <rPr>
        <sz val="14"/>
        <color theme="1"/>
        <rFont val="Times New Roman"/>
        <family val="1"/>
      </rPr>
      <t>One hand ventilation</t>
    </r>
  </si>
  <si>
    <r>
      <t>4.1.3</t>
    </r>
    <r>
      <rPr>
        <sz val="7"/>
        <color theme="1"/>
        <rFont val="Times New Roman"/>
        <family val="1"/>
      </rPr>
      <t xml:space="preserve">    </t>
    </r>
    <r>
      <rPr>
        <sz val="14"/>
        <color theme="1"/>
        <rFont val="Times New Roman"/>
        <family val="1"/>
      </rPr>
      <t>Two handed ventilation</t>
    </r>
  </si>
  <si>
    <r>
      <t>4.2.1</t>
    </r>
    <r>
      <rPr>
        <sz val="7"/>
        <color theme="1"/>
        <rFont val="Times New Roman"/>
        <family val="1"/>
      </rPr>
      <t xml:space="preserve">    </t>
    </r>
    <r>
      <rPr>
        <sz val="14"/>
        <color theme="1"/>
        <rFont val="Times New Roman"/>
        <family val="1"/>
      </rPr>
      <t>Grip of laryngoscope</t>
    </r>
  </si>
  <si>
    <r>
      <t>4.2.2</t>
    </r>
    <r>
      <rPr>
        <sz val="7"/>
        <color theme="1"/>
        <rFont val="Times New Roman"/>
        <family val="1"/>
      </rPr>
      <t xml:space="preserve">    </t>
    </r>
    <r>
      <rPr>
        <sz val="14"/>
        <color theme="1"/>
        <rFont val="Times New Roman"/>
        <family val="1"/>
      </rPr>
      <t>Scissor spread jaw open</t>
    </r>
  </si>
  <si>
    <r>
      <t>4.2.3</t>
    </r>
    <r>
      <rPr>
        <sz val="7"/>
        <color theme="1"/>
        <rFont val="Times New Roman"/>
        <family val="1"/>
      </rPr>
      <t xml:space="preserve">    </t>
    </r>
    <r>
      <rPr>
        <sz val="14"/>
        <color theme="1"/>
        <rFont val="Times New Roman"/>
        <family val="1"/>
      </rPr>
      <t>Insert laryngoscope blade into patients mouth</t>
    </r>
  </si>
  <si>
    <r>
      <t>4.2.4</t>
    </r>
    <r>
      <rPr>
        <sz val="7"/>
        <color theme="1"/>
        <rFont val="Times New Roman"/>
        <family val="1"/>
      </rPr>
      <t xml:space="preserve">    </t>
    </r>
    <r>
      <rPr>
        <sz val="14"/>
        <color theme="1"/>
        <rFont val="Times New Roman"/>
        <family val="1"/>
      </rPr>
      <t>Lift tongue and jaw with blade</t>
    </r>
  </si>
  <si>
    <r>
      <t>4.2.5</t>
    </r>
    <r>
      <rPr>
        <sz val="7"/>
        <color theme="1"/>
        <rFont val="Times New Roman"/>
        <family val="1"/>
      </rPr>
      <t xml:space="preserve">    </t>
    </r>
    <r>
      <rPr>
        <sz val="14"/>
        <color theme="1"/>
        <rFont val="Times New Roman"/>
        <family val="1"/>
      </rPr>
      <t>Insert blade to designated area</t>
    </r>
  </si>
  <si>
    <r>
      <t>4.2.6</t>
    </r>
    <r>
      <rPr>
        <sz val="7"/>
        <color theme="1"/>
        <rFont val="Times New Roman"/>
        <family val="1"/>
      </rPr>
      <t xml:space="preserve">    </t>
    </r>
    <r>
      <rPr>
        <sz val="14"/>
        <color theme="1"/>
        <rFont val="Times New Roman"/>
        <family val="1"/>
      </rPr>
      <t>Raise blade in lifting manner</t>
    </r>
  </si>
  <si>
    <r>
      <t>4.2.7</t>
    </r>
    <r>
      <rPr>
        <sz val="7"/>
        <color theme="1"/>
        <rFont val="Times New Roman"/>
        <family val="1"/>
      </rPr>
      <t xml:space="preserve">    </t>
    </r>
    <r>
      <rPr>
        <sz val="14"/>
        <color theme="1"/>
        <rFont val="Times New Roman"/>
        <family val="1"/>
      </rPr>
      <t>View vocal cords</t>
    </r>
  </si>
  <si>
    <r>
      <t>4.2.8</t>
    </r>
    <r>
      <rPr>
        <sz val="7"/>
        <color theme="1"/>
        <rFont val="Times New Roman"/>
        <family val="1"/>
      </rPr>
      <t xml:space="preserve">    </t>
    </r>
    <r>
      <rPr>
        <sz val="14"/>
        <color theme="1"/>
        <rFont val="Times New Roman"/>
        <family val="1"/>
      </rPr>
      <t>Slide endotracheal tube through mouth and into trachea</t>
    </r>
  </si>
  <si>
    <r>
      <t>4.2.9</t>
    </r>
    <r>
      <rPr>
        <sz val="7"/>
        <color theme="1"/>
        <rFont val="Times New Roman"/>
        <family val="1"/>
      </rPr>
      <t xml:space="preserve">    </t>
    </r>
    <r>
      <rPr>
        <sz val="14"/>
        <color theme="1"/>
        <rFont val="Times New Roman"/>
        <family val="1"/>
      </rPr>
      <t>Remove laryngoscope</t>
    </r>
  </si>
  <si>
    <r>
      <t>4.2.10</t>
    </r>
    <r>
      <rPr>
        <sz val="7"/>
        <color theme="1"/>
        <rFont val="Times New Roman"/>
        <family val="1"/>
      </rPr>
      <t xml:space="preserve">                       </t>
    </r>
    <r>
      <rPr>
        <sz val="14"/>
        <color theme="1"/>
        <rFont val="Times New Roman"/>
        <family val="1"/>
      </rPr>
      <t>Inflate cuff</t>
    </r>
  </si>
  <si>
    <r>
      <t>4.2.11</t>
    </r>
    <r>
      <rPr>
        <sz val="7"/>
        <color theme="1"/>
        <rFont val="Times New Roman"/>
        <family val="1"/>
      </rPr>
      <t xml:space="preserve">                       </t>
    </r>
    <r>
      <rPr>
        <sz val="14"/>
        <color theme="1"/>
        <rFont val="Times New Roman"/>
        <family val="1"/>
      </rPr>
      <t>Remove stylet</t>
    </r>
  </si>
  <si>
    <r>
      <t>5.1.1</t>
    </r>
    <r>
      <rPr>
        <sz val="7"/>
        <color theme="1"/>
        <rFont val="Times New Roman"/>
        <family val="1"/>
      </rPr>
      <t xml:space="preserve">    </t>
    </r>
    <r>
      <rPr>
        <sz val="14"/>
        <color theme="1"/>
        <rFont val="Times New Roman"/>
        <family val="1"/>
      </rPr>
      <t>Attach ambu bag to ETT</t>
    </r>
  </si>
  <si>
    <r>
      <t>5.1.2</t>
    </r>
    <r>
      <rPr>
        <sz val="7"/>
        <color theme="1"/>
        <rFont val="Times New Roman"/>
        <family val="1"/>
      </rPr>
      <t xml:space="preserve">    </t>
    </r>
    <r>
      <rPr>
        <sz val="14"/>
        <color theme="1"/>
        <rFont val="Times New Roman"/>
        <family val="1"/>
      </rPr>
      <t>Squeeze ambu bag</t>
    </r>
  </si>
  <si>
    <r>
      <t>5.1.3</t>
    </r>
    <r>
      <rPr>
        <sz val="7"/>
        <color theme="1"/>
        <rFont val="Times New Roman"/>
        <family val="1"/>
      </rPr>
      <t xml:space="preserve">    </t>
    </r>
    <r>
      <rPr>
        <sz val="14"/>
        <color theme="1"/>
        <rFont val="Times New Roman"/>
        <family val="1"/>
      </rPr>
      <t>Auscultate upper and lower lung fields on right and left for sounds of air movement</t>
    </r>
  </si>
  <si>
    <r>
      <t>5.1.4</t>
    </r>
    <r>
      <rPr>
        <sz val="7"/>
        <color theme="1"/>
        <rFont val="Times New Roman"/>
        <family val="1"/>
      </rPr>
      <t xml:space="preserve">    </t>
    </r>
    <r>
      <rPr>
        <sz val="14"/>
        <color theme="1"/>
        <rFont val="Times New Roman"/>
        <family val="1"/>
      </rPr>
      <t>If sounds are heard in the right lung only</t>
    </r>
  </si>
  <si>
    <r>
      <t>5.1.5</t>
    </r>
    <r>
      <rPr>
        <sz val="7"/>
        <color theme="1"/>
        <rFont val="Times New Roman"/>
        <family val="1"/>
      </rPr>
      <t xml:space="preserve">    </t>
    </r>
    <r>
      <rPr>
        <sz val="14"/>
        <color theme="1"/>
        <rFont val="Times New Roman"/>
        <family val="1"/>
      </rPr>
      <t>If sounds are heard in the stomach</t>
    </r>
  </si>
  <si>
    <r>
      <t>5.3.1</t>
    </r>
    <r>
      <rPr>
        <sz val="7"/>
        <color theme="1"/>
        <rFont val="Times New Roman"/>
        <family val="1"/>
      </rPr>
      <t xml:space="preserve">    </t>
    </r>
    <r>
      <rPr>
        <sz val="14"/>
        <color theme="1"/>
        <rFont val="Times New Roman"/>
        <family val="1"/>
      </rPr>
      <t>Stomach pressure will be different than ETT in airway</t>
    </r>
  </si>
  <si>
    <r>
      <t>5.4.1</t>
    </r>
    <r>
      <rPr>
        <sz val="7"/>
        <color theme="1"/>
        <rFont val="Times New Roman"/>
        <family val="1"/>
      </rPr>
      <t xml:space="preserve">    </t>
    </r>
    <r>
      <rPr>
        <sz val="14"/>
        <color theme="1"/>
        <rFont val="Times New Roman"/>
        <family val="1"/>
      </rPr>
      <t>Color indicator</t>
    </r>
  </si>
  <si>
    <r>
      <t>5.4.2</t>
    </r>
    <r>
      <rPr>
        <sz val="7"/>
        <color theme="1"/>
        <rFont val="Times New Roman"/>
        <family val="1"/>
      </rPr>
      <t xml:space="preserve">    </t>
    </r>
    <r>
      <rPr>
        <sz val="14"/>
        <color theme="1"/>
        <rFont val="Times New Roman"/>
        <family val="1"/>
      </rPr>
      <t>Capnography</t>
    </r>
  </si>
  <si>
    <t>TASKS</t>
  </si>
  <si>
    <t>MATCHED LEARNING OBJECTIVES</t>
  </si>
  <si>
    <t>Learning Objectives:</t>
  </si>
  <si>
    <r>
      <t>1.1.1</t>
    </r>
    <r>
      <rPr>
        <sz val="7"/>
        <color theme="1"/>
        <rFont val="Times New Roman"/>
        <family val="1"/>
      </rPr>
      <t xml:space="preserve">       </t>
    </r>
    <r>
      <rPr>
        <sz val="14"/>
        <color theme="1"/>
        <rFont val="Times New Roman"/>
        <family val="1"/>
      </rPr>
      <t>MOANS</t>
    </r>
  </si>
  <si>
    <t>2.5         Direct laryngoscope intubation</t>
  </si>
  <si>
    <t>2.4         Bag mask ventilation</t>
  </si>
  <si>
    <t>2.3         Suction is working</t>
  </si>
  <si>
    <t>2.1         Pulse oximeter</t>
  </si>
  <si>
    <t>2.2         Oxygen source</t>
  </si>
  <si>
    <t>Minimal jaw protrusion</t>
  </si>
  <si>
    <t>Primary Learning Objective</t>
  </si>
  <si>
    <t>Secondary Learning Objective</t>
  </si>
  <si>
    <t>Tertiary Learning Objective</t>
  </si>
  <si>
    <t>2 Prepare and check equipment</t>
  </si>
  <si>
    <t>3 Preparing the patient</t>
  </si>
  <si>
    <t>4 Securing the airway</t>
  </si>
  <si>
    <t>5 Evaluate the airway (succeeded or failed)</t>
  </si>
  <si>
    <r>
      <t>Instruction:</t>
    </r>
    <r>
      <rPr>
        <sz val="12"/>
        <color rgb="FF008000"/>
        <rFont val="Arial"/>
        <family val="2"/>
      </rPr>
      <t xml:space="preserve"> Click on the button above that indicates the learning objective (L.O.) you want to match with the task in Column D. Make sure the active cell in Column A is the one you want to place the objective in. If you would like to indicate secondary and tertiary learning objectives, click on the appropriate cells in columns B and C before clicking on the L.O. buttons. If none of the L.O.'s match the task, click the N/A button.</t>
    </r>
  </si>
  <si>
    <t>L.O 1</t>
  </si>
  <si>
    <t>L.O 2</t>
  </si>
  <si>
    <t>L.O 3</t>
  </si>
  <si>
    <t>L.O 4</t>
  </si>
  <si>
    <t>L.O 5</t>
  </si>
  <si>
    <t>L.O 6</t>
  </si>
  <si>
    <t>L.O 7</t>
  </si>
  <si>
    <t>L.O 8</t>
  </si>
  <si>
    <t>Pri</t>
  </si>
  <si>
    <t>Sec</t>
  </si>
  <si>
    <t>Ter</t>
  </si>
  <si>
    <t>- Mouth opening greater than 3 fingerbreadths</t>
  </si>
  <si>
    <t>- Hyoid-chin distance greater than 3 fingerbreadths</t>
  </si>
  <si>
    <t>- Thyroid cartilage-mouth floor distance greater than 2 fingerbreadths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</si>
</sst>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b/>
      <i/>
      <sz val="14"/>
      <color theme="1"/>
      <name val="Times New Roman"/>
      <family val="1"/>
    </font>
    <font>
      <b/>
      <i/>
      <sz val="7"/>
      <color theme="1"/>
      <name val="Times New Roman"/>
      <family val="1"/>
    </font>
    <font>
      <sz val="12"/>
      <color theme="1"/>
      <name val="Times New Roman"/>
      <family val="1"/>
    </font>
    <font>
      <sz val="9"/>
      <color theme="1"/>
      <name val="StarSymbol"/>
    </font>
    <font>
      <sz val="7"/>
      <color theme="1"/>
      <name val="Times New Roman"/>
      <family val="1"/>
    </font>
    <font>
      <sz val="14"/>
      <color theme="1"/>
      <name val="Times New Roman"/>
      <family val="1"/>
    </font>
    <font>
      <b/>
      <u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2"/>
      <color theme="1"/>
      <name val="Arial"/>
      <family val="2"/>
    </font>
    <font>
      <b/>
      <u/>
      <sz val="14"/>
      <color theme="1"/>
      <name val="Arial"/>
      <family val="2"/>
    </font>
    <font>
      <b/>
      <u/>
      <sz val="12"/>
      <color rgb="FF008000"/>
      <name val="Arial"/>
      <family val="2"/>
    </font>
    <font>
      <sz val="12"/>
      <color rgb="FF008000"/>
      <name val="Arial"/>
      <family val="2"/>
    </font>
    <font>
      <sz val="11"/>
      <color rgb="FF008000"/>
      <name val="Calibri"/>
      <family val="2"/>
      <scheme val="minor"/>
    </font>
    <font>
      <b/>
      <u/>
      <sz val="10"/>
      <color theme="1"/>
      <name val="Arial"/>
      <family val="2"/>
    </font>
    <font>
      <sz val="10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/>
    <xf numFmtId="0" fontId="5" fillId="0" borderId="0" xfId="0" applyFont="1" applyAlignment="1">
      <alignment vertical="center"/>
    </xf>
    <xf numFmtId="0" fontId="5" fillId="0" borderId="0" xfId="0" applyFont="1"/>
    <xf numFmtId="0" fontId="0" fillId="0" borderId="0" xfId="0" applyFont="1"/>
    <xf numFmtId="0" fontId="0" fillId="0" borderId="1" xfId="0" applyBorder="1"/>
    <xf numFmtId="0" fontId="2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6" fillId="0" borderId="1" xfId="0" applyFont="1" applyBorder="1" applyAlignment="1">
      <alignment horizontal="left" vertical="center" indent="5"/>
    </xf>
    <xf numFmtId="0" fontId="0" fillId="0" borderId="0" xfId="0" applyFill="1"/>
    <xf numFmtId="0" fontId="9" fillId="0" borderId="1" xfId="0" applyFont="1" applyFill="1" applyBorder="1"/>
    <xf numFmtId="0" fontId="10" fillId="0" borderId="0" xfId="0" applyFont="1" applyAlignment="1">
      <alignment horizontal="right" vertical="center" wrapText="1"/>
    </xf>
    <xf numFmtId="0" fontId="12" fillId="0" borderId="1" xfId="0" applyFont="1" applyFill="1" applyBorder="1"/>
    <xf numFmtId="0" fontId="15" fillId="0" borderId="0" xfId="0" applyFont="1"/>
    <xf numFmtId="0" fontId="8" fillId="0" borderId="1" xfId="0" applyFont="1" applyBorder="1" applyAlignment="1">
      <alignment horizontal="left" vertical="center" indent="7"/>
    </xf>
    <xf numFmtId="0" fontId="3" fillId="0" borderId="1" xfId="0" applyFont="1" applyBorder="1" applyAlignment="1">
      <alignment horizontal="left" vertical="center" indent="3"/>
    </xf>
    <xf numFmtId="0" fontId="5" fillId="0" borderId="1" xfId="0" applyFont="1" applyBorder="1" applyAlignment="1">
      <alignment horizontal="left" vertical="center" indent="12"/>
    </xf>
    <xf numFmtId="0" fontId="6" fillId="0" borderId="1" xfId="0" applyFont="1" applyBorder="1" applyAlignment="1">
      <alignment horizontal="left" vertical="center" indent="17"/>
    </xf>
    <xf numFmtId="0" fontId="0" fillId="0" borderId="1" xfId="0" applyFill="1" applyBorder="1" applyAlignment="1"/>
    <xf numFmtId="0" fontId="0" fillId="0" borderId="1" xfId="0" applyBorder="1" applyAlignment="1"/>
    <xf numFmtId="0" fontId="0" fillId="0" borderId="1" xfId="0" applyFill="1" applyBorder="1" applyAlignment="1">
      <alignment vertical="top"/>
    </xf>
    <xf numFmtId="0" fontId="0" fillId="0" borderId="1" xfId="0" applyBorder="1" applyAlignment="1">
      <alignment vertical="top"/>
    </xf>
    <xf numFmtId="0" fontId="10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11" fillId="0" borderId="1" xfId="0" applyFont="1" applyFill="1" applyBorder="1" applyAlignment="1">
      <alignment horizontal="center"/>
    </xf>
    <xf numFmtId="0" fontId="16" fillId="0" borderId="1" xfId="0" applyFont="1" applyFill="1" applyBorder="1" applyAlignment="1">
      <alignment horizontal="center"/>
    </xf>
    <xf numFmtId="0" fontId="0" fillId="0" borderId="0" xfId="0" applyFont="1" applyFill="1"/>
    <xf numFmtId="0" fontId="13" fillId="0" borderId="0" xfId="0" applyFont="1" applyAlignment="1">
      <alignment horizontal="left" vertical="top" wrapText="1"/>
    </xf>
    <xf numFmtId="0" fontId="12" fillId="0" borderId="0" xfId="0" applyFont="1" applyFill="1" applyBorder="1"/>
    <xf numFmtId="0" fontId="2" fillId="0" borderId="0" xfId="0" applyFont="1" applyBorder="1" applyAlignment="1">
      <alignment vertical="center"/>
    </xf>
    <xf numFmtId="0" fontId="3" fillId="0" borderId="0" xfId="0" applyFont="1" applyBorder="1" applyAlignment="1">
      <alignment horizontal="left" vertical="center" indent="3"/>
    </xf>
    <xf numFmtId="0" fontId="8" fillId="0" borderId="0" xfId="0" applyFont="1" applyBorder="1" applyAlignment="1">
      <alignment horizontal="left" vertical="center" indent="7"/>
    </xf>
    <xf numFmtId="0" fontId="5" fillId="0" borderId="0" xfId="0" applyFont="1" applyBorder="1" applyAlignment="1">
      <alignment horizontal="left" vertical="center" indent="12"/>
    </xf>
    <xf numFmtId="0" fontId="6" fillId="0" borderId="0" xfId="0" applyFont="1" applyBorder="1" applyAlignment="1">
      <alignment horizontal="left" vertical="center" indent="17"/>
    </xf>
    <xf numFmtId="0" fontId="2" fillId="0" borderId="0" xfId="0" applyFont="1" applyBorder="1" applyAlignment="1">
      <alignment horizontal="left" vertical="center"/>
    </xf>
    <xf numFmtId="0" fontId="0" fillId="0" borderId="0" xfId="0" applyFont="1" applyProtection="1">
      <protection locked="0"/>
    </xf>
    <xf numFmtId="0" fontId="0" fillId="0" borderId="0" xfId="0" applyFont="1" applyFill="1" applyProtection="1">
      <protection locked="0"/>
    </xf>
    <xf numFmtId="0" fontId="0" fillId="0" borderId="0" xfId="0" applyProtection="1">
      <protection locked="0"/>
    </xf>
    <xf numFmtId="0" fontId="12" fillId="0" borderId="1" xfId="0" applyFont="1" applyFill="1" applyBorder="1" applyAlignment="1">
      <alignment horizontal="center"/>
    </xf>
    <xf numFmtId="0" fontId="13" fillId="0" borderId="0" xfId="0" applyFont="1" applyAlignment="1">
      <alignment horizontal="left" vertical="top" wrapText="1"/>
    </xf>
    <xf numFmtId="0" fontId="17" fillId="0" borderId="1" xfId="0" quotePrefix="1" applyFont="1" applyBorder="1" applyAlignment="1">
      <alignment horizontal="left" vertical="center" indent="16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99FF"/>
      <color rgb="FFB2B2B2"/>
      <color rgb="FFFFFF66"/>
      <color rgb="FF008000"/>
      <color rgb="FF66FF66"/>
      <color rgb="FFFF3300"/>
      <color rgb="FF33CCCC"/>
      <color rgb="FFFF99CC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1647975</xdr:colOff>
      <xdr:row>0</xdr:row>
      <xdr:rowOff>11907</xdr:rowOff>
    </xdr:from>
    <xdr:to>
      <xdr:col>3</xdr:col>
      <xdr:colOff>6177643</xdr:colOff>
      <xdr:row>0</xdr:row>
      <xdr:rowOff>1156607</xdr:rowOff>
    </xdr:to>
    <xdr:grpSp>
      <xdr:nvGrpSpPr>
        <xdr:cNvPr id="5" name="Group 4"/>
        <xdr:cNvGrpSpPr/>
      </xdr:nvGrpSpPr>
      <xdr:grpSpPr>
        <a:xfrm>
          <a:off x="1647975" y="11907"/>
          <a:ext cx="12693954" cy="1144700"/>
          <a:chOff x="2763761" y="27213"/>
          <a:chExt cx="12693954" cy="1144700"/>
        </a:xfrm>
      </xdr:grpSpPr>
      <xdr:grpSp>
        <xdr:nvGrpSpPr>
          <xdr:cNvPr id="4" name="Group 3"/>
          <xdr:cNvGrpSpPr/>
        </xdr:nvGrpSpPr>
        <xdr:grpSpPr>
          <a:xfrm>
            <a:off x="2763761" y="27213"/>
            <a:ext cx="12017829" cy="1144700"/>
            <a:chOff x="1026584" y="16933"/>
            <a:chExt cx="12014474" cy="1144700"/>
          </a:xfr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grpSpPr>
        <xdr:sp macro="[0]!AssignL01Offset.AssigningValueToActiveCellThenOffset" textlink="">
          <xdr:nvSpPr>
            <xdr:cNvPr id="3" name="Rounded Rectangle 2"/>
            <xdr:cNvSpPr/>
          </xdr:nvSpPr>
          <xdr:spPr>
            <a:xfrm>
              <a:off x="1037167" y="31751"/>
              <a:ext cx="2391833" cy="653632"/>
            </a:xfrm>
            <a:prstGeom prst="roundRect">
              <a:avLst/>
            </a:prstGeom>
            <a:solidFill>
              <a:srgbClr val="FF99CC"/>
            </a:solidFill>
            <a:ln w="28575">
              <a:solidFill>
                <a:schemeClr val="bg1"/>
              </a:solidFill>
            </a:ln>
            <a:effectLst>
              <a:innerShdw blurRad="63500" dist="50800" dir="16200000">
                <a:schemeClr val="bg2">
                  <a:alpha val="50000"/>
                </a:schemeClr>
              </a:inn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1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Describe medications used to prepare a patient for endotracheal intubation</a:t>
              </a:r>
            </a:p>
          </xdr:txBody>
        </xdr:sp>
        <xdr:sp macro="[0]!AssignL06Offset.AssigningValueToActiveCellThenOffset" textlink="">
          <xdr:nvSpPr>
            <xdr:cNvPr id="12" name="Rounded Rectangle 11"/>
            <xdr:cNvSpPr/>
          </xdr:nvSpPr>
          <xdr:spPr>
            <a:xfrm>
              <a:off x="10030024" y="120651"/>
              <a:ext cx="2990850" cy="482599"/>
            </a:xfrm>
            <a:prstGeom prst="roundRect">
              <a:avLst/>
            </a:prstGeom>
            <a:solidFill>
              <a:srgbClr val="9999FF"/>
            </a:solidFill>
            <a:ln>
              <a:solidFill>
                <a:schemeClr val="bg1"/>
              </a:solidFill>
            </a:ln>
            <a:effectLst>
              <a:innerShdw blurRad="63500" dist="50800" dir="16200000">
                <a:schemeClr val="bg2">
                  <a:alpha val="50000"/>
                </a:schemeClr>
              </a:innerShdw>
            </a:effectLst>
          </xdr:spPr>
          <xdr:style>
            <a:lnRef idx="3">
              <a:schemeClr val="lt1"/>
            </a:lnRef>
            <a:fillRef idx="1">
              <a:schemeClr val="accent3"/>
            </a:fillRef>
            <a:effectRef idx="1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1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Adjust blade appropriately to obtain optimal laryngeal view</a:t>
              </a:r>
            </a:p>
          </xdr:txBody>
        </xdr:sp>
        <xdr:sp macro="[0]!AssignL05Offset.AssigningValueToActiveCellThenOffset" textlink="">
          <xdr:nvSpPr>
            <xdr:cNvPr id="13" name="Rounded Rectangle 12"/>
            <xdr:cNvSpPr/>
          </xdr:nvSpPr>
          <xdr:spPr>
            <a:xfrm>
              <a:off x="5871633" y="19051"/>
              <a:ext cx="4131648" cy="639118"/>
            </a:xfrm>
            <a:prstGeom prst="roundRect">
              <a:avLst/>
            </a:prstGeom>
            <a:solidFill>
              <a:srgbClr val="FFFF66"/>
            </a:solidFill>
            <a:ln>
              <a:solidFill>
                <a:schemeClr val="bg1"/>
              </a:solidFill>
            </a:ln>
            <a:effectLst>
              <a:innerShdw blurRad="63500" dist="50800" dir="16200000">
                <a:schemeClr val="bg2">
                  <a:alpha val="50000"/>
                </a:schemeClr>
              </a:innerShdw>
            </a:effectLst>
          </xdr:spPr>
          <xdr:style>
            <a:lnRef idx="3">
              <a:schemeClr val="lt1"/>
            </a:lnRef>
            <a:fillRef idx="1">
              <a:schemeClr val="accent5"/>
            </a:fillRef>
            <a:effectRef idx="1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1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Employ proper technique for insertion of direct laryngoscopy blade (initial insertion, direction of movement, correct application of force)</a:t>
              </a:r>
            </a:p>
          </xdr:txBody>
        </xdr:sp>
        <xdr:sp macro="[0]!AssignL04Offset.AssigningValueToActiveCellThenOffset" textlink="">
          <xdr:nvSpPr>
            <xdr:cNvPr id="14" name="Rounded Rectangle 13"/>
            <xdr:cNvSpPr/>
          </xdr:nvSpPr>
          <xdr:spPr>
            <a:xfrm>
              <a:off x="3473451" y="605367"/>
              <a:ext cx="2368549" cy="548216"/>
            </a:xfrm>
            <a:prstGeom prst="roundRect">
              <a:avLst/>
            </a:prstGeom>
            <a:ln>
              <a:solidFill>
                <a:schemeClr val="bg1"/>
              </a:solidFill>
            </a:ln>
            <a:effectLst>
              <a:innerShdw blurRad="63500" dist="50800" dir="16200000">
                <a:schemeClr val="bg2">
                  <a:alpha val="50000"/>
                </a:schemeClr>
              </a:innerShdw>
            </a:effectLst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1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Distinguish features of normal and difficult airway anatomy</a:t>
              </a:r>
            </a:p>
          </xdr:txBody>
        </xdr:sp>
        <xdr:sp macro="[0]!AssignL02Offset.AssigningValueToActiveCellThenOffset" textlink="">
          <xdr:nvSpPr>
            <xdr:cNvPr id="15" name="Rounded Rectangle 14"/>
            <xdr:cNvSpPr/>
          </xdr:nvSpPr>
          <xdr:spPr>
            <a:xfrm>
              <a:off x="3467099" y="16933"/>
              <a:ext cx="2391833" cy="575733"/>
            </a:xfrm>
            <a:prstGeom prst="roundRect">
              <a:avLst/>
            </a:prstGeom>
            <a:ln>
              <a:solidFill>
                <a:schemeClr val="bg1"/>
              </a:solidFill>
            </a:ln>
            <a:effectLst>
              <a:innerShdw blurRad="63500" dist="50800" dir="16200000">
                <a:schemeClr val="bg2">
                  <a:alpha val="50000"/>
                </a:schemeClr>
              </a:innerShdw>
            </a:effectLst>
          </xdr:spPr>
          <xdr:style>
            <a:lnRef idx="3">
              <a:schemeClr val="lt1"/>
            </a:lnRef>
            <a:fillRef idx="1">
              <a:schemeClr val="accent6"/>
            </a:fillRef>
            <a:effectRef idx="1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1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Identify equipment needed for endotracheal intubation</a:t>
              </a:r>
            </a:p>
          </xdr:txBody>
        </xdr:sp>
        <xdr:sp macro="[0]!AssignL03Offset.AssigningValueToActiveCellThenOffset" textlink="">
          <xdr:nvSpPr>
            <xdr:cNvPr id="16" name="Rounded Rectangle 15"/>
            <xdr:cNvSpPr/>
          </xdr:nvSpPr>
          <xdr:spPr>
            <a:xfrm>
              <a:off x="1026584" y="687917"/>
              <a:ext cx="2434166" cy="473716"/>
            </a:xfrm>
            <a:prstGeom prst="roundRect">
              <a:avLst/>
            </a:prstGeom>
            <a:solidFill>
              <a:srgbClr val="33CCCC"/>
            </a:solidFill>
            <a:ln>
              <a:solidFill>
                <a:schemeClr val="bg1"/>
              </a:solidFill>
            </a:ln>
            <a:effectLst>
              <a:innerShdw blurRad="63500" dist="50800" dir="16200000">
                <a:schemeClr val="bg2">
                  <a:alpha val="50000"/>
                </a:schemeClr>
              </a:innerShdw>
            </a:effectLst>
          </xdr:spPr>
          <xdr:style>
            <a:lnRef idx="3">
              <a:schemeClr val="lt1"/>
            </a:lnRef>
            <a:fillRef idx="1">
              <a:schemeClr val="accent1"/>
            </a:fillRef>
            <a:effectRef idx="1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1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Relate position of patient head and neck to optimal laryngeal view</a:t>
              </a:r>
            </a:p>
          </xdr:txBody>
        </xdr:sp>
        <xdr:sp macro="[0]!AssignL08Offset.AssigningValueToActiveCellThenOffset" textlink="">
          <xdr:nvSpPr>
            <xdr:cNvPr id="17" name="Rounded Rectangle 16"/>
            <xdr:cNvSpPr/>
          </xdr:nvSpPr>
          <xdr:spPr>
            <a:xfrm>
              <a:off x="10054441" y="635606"/>
              <a:ext cx="2986617" cy="484716"/>
            </a:xfrm>
            <a:prstGeom prst="roundRect">
              <a:avLst/>
            </a:prstGeom>
            <a:solidFill>
              <a:srgbClr val="66FF66"/>
            </a:solidFill>
            <a:ln>
              <a:solidFill>
                <a:schemeClr val="bg1"/>
              </a:solidFill>
            </a:ln>
            <a:effectLst>
              <a:innerShdw blurRad="63500" dist="50800" dir="16200000">
                <a:schemeClr val="bg2">
                  <a:alpha val="50000"/>
                </a:schemeClr>
              </a:innerShdw>
            </a:effectLst>
          </xdr:spPr>
          <xdr:style>
            <a:lnRef idx="3">
              <a:schemeClr val="lt1"/>
            </a:lnRef>
            <a:fillRef idx="1">
              <a:schemeClr val="accent5"/>
            </a:fillRef>
            <a:effectRef idx="1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1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Ensure proper placement of endotracheal tube</a:t>
              </a:r>
            </a:p>
          </xdr:txBody>
        </xdr:sp>
        <xdr:sp macro="[0]!AssignL07Offset.AssigningValueToActiveCellThenOffset" textlink="">
          <xdr:nvSpPr>
            <xdr:cNvPr id="18" name="Rounded Rectangle 17"/>
            <xdr:cNvSpPr/>
          </xdr:nvSpPr>
          <xdr:spPr>
            <a:xfrm>
              <a:off x="5858260" y="687917"/>
              <a:ext cx="4172228" cy="460110"/>
            </a:xfrm>
            <a:prstGeom prst="roundRect">
              <a:avLst/>
            </a:prstGeom>
            <a:ln>
              <a:solidFill>
                <a:schemeClr val="bg1"/>
              </a:solidFill>
            </a:ln>
            <a:effectLst>
              <a:innerShdw blurRad="63500" dist="50800" dir="16200000">
                <a:schemeClr val="bg2">
                  <a:alpha val="50000"/>
                </a:schemeClr>
              </a:innerShdw>
            </a:effectLst>
          </xdr:spPr>
          <xdr:style>
            <a:lnRef idx="3">
              <a:schemeClr val="lt1"/>
            </a:lnRef>
            <a:fillRef idx="1">
              <a:schemeClr val="accent4"/>
            </a:fillRef>
            <a:effectRef idx="1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1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Avoid injury to the patient with laryngoscope or endotracheal tube (lips, teeth, oropharyngeal tissues, larynx, trachea)</a:t>
              </a:r>
            </a:p>
          </xdr:txBody>
        </xdr:sp>
      </xdr:grpSp>
      <xdr:sp macro="[0]!AssignNAOffset.AssigningValueToActiveCellThenOffset" textlink="">
        <xdr:nvSpPr>
          <xdr:cNvPr id="21" name="Rounded Rectangle 20"/>
          <xdr:cNvSpPr/>
        </xdr:nvSpPr>
        <xdr:spPr>
          <a:xfrm>
            <a:off x="14778871" y="40821"/>
            <a:ext cx="678844" cy="693965"/>
          </a:xfrm>
          <a:prstGeom prst="roundRect">
            <a:avLst/>
          </a:prstGeom>
          <a:ln>
            <a:solidFill>
              <a:schemeClr val="bg1"/>
            </a:solidFill>
          </a:ln>
          <a:effectLst>
            <a:innerShdw blurRad="63500" dist="50800" dir="16200000">
              <a:schemeClr val="bg2">
                <a:alpha val="50000"/>
              </a:schemeClr>
            </a:innerShdw>
          </a:effectLst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N/A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139"/>
  <sheetViews>
    <sheetView tabSelected="1" zoomScale="70" zoomScaleNormal="70" workbookViewId="0">
      <pane xSplit="4" ySplit="3" topLeftCell="E4" activePane="bottomRight" state="frozen"/>
      <selection pane="topRight" activeCell="D1" sqref="D1"/>
      <selection pane="bottomLeft" activeCell="A4" sqref="A4"/>
      <selection pane="bottomRight" activeCell="A27" sqref="A16:A27"/>
    </sheetView>
  </sheetViews>
  <sheetFormatPr defaultRowHeight="15" x14ac:dyDescent="0.25"/>
  <cols>
    <col min="1" max="1" width="60.7109375" customWidth="1"/>
    <col min="2" max="3" width="30.7109375" customWidth="1"/>
    <col min="4" max="5" width="98.28515625" customWidth="1"/>
    <col min="6" max="6" width="25.85546875" customWidth="1"/>
    <col min="7" max="7" width="0" style="4" hidden="1" customWidth="1"/>
    <col min="8" max="18" width="0" hidden="1" customWidth="1"/>
  </cols>
  <sheetData>
    <row r="1" spans="1:18" ht="94.5" customHeight="1" x14ac:dyDescent="0.25">
      <c r="A1" s="24" t="s">
        <v>140</v>
      </c>
      <c r="B1" s="13"/>
      <c r="C1" s="11"/>
      <c r="F1" s="1"/>
      <c r="G1" s="1"/>
    </row>
    <row r="2" spans="1:18" ht="33.75" customHeight="1" x14ac:dyDescent="0.25">
      <c r="A2" s="41" t="s">
        <v>155</v>
      </c>
      <c r="B2" s="41"/>
      <c r="C2" s="41"/>
      <c r="D2" s="41"/>
      <c r="E2" s="29"/>
      <c r="F2" s="15"/>
    </row>
    <row r="3" spans="1:18" ht="18" x14ac:dyDescent="0.25">
      <c r="A3" s="40" t="s">
        <v>139</v>
      </c>
      <c r="B3" s="40"/>
      <c r="C3" s="40"/>
      <c r="D3" s="14" t="s">
        <v>138</v>
      </c>
      <c r="E3" s="30"/>
      <c r="G3" s="1" t="s">
        <v>156</v>
      </c>
      <c r="H3" s="1" t="s">
        <v>157</v>
      </c>
      <c r="I3" s="1" t="s">
        <v>158</v>
      </c>
      <c r="J3" s="1" t="s">
        <v>159</v>
      </c>
      <c r="K3" s="1" t="s">
        <v>160</v>
      </c>
      <c r="L3" s="1" t="s">
        <v>161</v>
      </c>
      <c r="M3" s="1" t="s">
        <v>162</v>
      </c>
      <c r="N3" s="1" t="s">
        <v>163</v>
      </c>
      <c r="P3" s="1" t="s">
        <v>164</v>
      </c>
      <c r="Q3" s="1" t="s">
        <v>165</v>
      </c>
      <c r="R3" s="1" t="s">
        <v>166</v>
      </c>
    </row>
    <row r="4" spans="1:18" ht="18" x14ac:dyDescent="0.25">
      <c r="A4" s="26" t="s">
        <v>148</v>
      </c>
      <c r="B4" s="27" t="s">
        <v>149</v>
      </c>
      <c r="C4" s="27" t="s">
        <v>150</v>
      </c>
      <c r="D4" s="14"/>
      <c r="E4" s="30"/>
      <c r="H4" s="4"/>
      <c r="I4" s="4"/>
      <c r="J4" s="4"/>
      <c r="K4" s="4"/>
      <c r="L4" s="4"/>
      <c r="M4" s="4"/>
      <c r="N4" s="4"/>
    </row>
    <row r="5" spans="1:18" ht="18.75" x14ac:dyDescent="0.25">
      <c r="A5" s="20"/>
      <c r="B5" s="20"/>
      <c r="C5" s="20"/>
      <c r="D5" s="6" t="s">
        <v>94</v>
      </c>
      <c r="E5" s="31"/>
      <c r="G5" s="4">
        <f>IF(A5="Describe medications used to prepare a patient for endotracheal intubation","A",IF(B5="Describe medications used to prepare a patient for endotracheal intubation", "B", IF(C5="Describe medications used to prepare a patient for endotracheal intubation","C",0)))</f>
        <v>0</v>
      </c>
      <c r="H5" s="28">
        <f>IF(A5="Identify equipment needed for endotracheal intubation","A",IF(B5="Identify equipment needed for endotracheal intubation", "B", IF(C5="Identify equipment needed for endotracheal intubation","C",0)))</f>
        <v>0</v>
      </c>
      <c r="I5" s="4">
        <f>IF(A5="Relate position of patient head and neck to optimal laryngeal view","A",IF(B5="Relate position of patient head and neck to optimal laryngeal view", "B", IF(C5="Relate position of patient head and neck to optimal laryngeal view","C",0)))</f>
        <v>0</v>
      </c>
      <c r="J5" s="4">
        <f>IF(A5="Distinguish features of normal and difficult airway anatomy","A",IF(B5="Distinguish features of normal and difficult airway anatomy", "B", IF(C5="Distinguish features of normal and difficult airway anatomy","C",0)))</f>
        <v>0</v>
      </c>
      <c r="K5" s="4">
        <f>IF(A5="Employ proper technique for insertion of direct laryngoscopy blade (initial insertion, direction of movement, correction application of force)","A",IF(B5="Employ proper technique for insertion of direct laryngoscopy blade (initial insertion, direction of movement, correction application of force)", "B", IF(C5="Employ proper technique for insertion of direct laryngoscopy blade (initial insertion, direction of movement, correction application of force)","C",0)))</f>
        <v>0</v>
      </c>
      <c r="L5" s="4">
        <f>IF(A5="Adjust blade appropriately to obtain optimal laryngeal view","A",IF(B5="Adjust blade appropriately to obtain optimal laryngeal view", "B", IF(C5="Adjust blade appropriately to obtain optimal laryngeal view","C",0)))</f>
        <v>0</v>
      </c>
      <c r="M5" s="4">
        <f>IF(A5="Avoid injury to the patient with laryngoscope or endotracheal tube (lips, teeth, oropharyngeal tissues, larynx, trachea)","A",IF(B5="Avoid injury to the patient with laryngoscope or endotracheal tube (lips, teeth, oropharyngeal tissues, larynx, trachea)", "B", IF(C5="Avoid injury to the patient with laryngoscope or endotracheal tube (lips, teeth, oropharyngeal tissues, larynx, trachea)","C",0)))</f>
        <v>0</v>
      </c>
      <c r="N5" s="4">
        <f>IF(A5="Ensure proper placement of endotracheal tube","A",IF(B5="Ensure proper placement of endotracheal tube", "B", IF(C5="Ensure proper placement of endotracheal tube","C",0)))</f>
        <v>0</v>
      </c>
      <c r="P5">
        <f>IF(A5="Describe medications used to prepare a patient for endotracheal intubation","L.O.1",IF(A5="Identify equipment needed for endotracheal intubation", "L.O.2", IF(A5="Relate position of patient head and neck to optimal laryngeal view","L.O.3",IF(A5="Distinguish features of normal and difficult airway anatomy","L.O.4",IF(A5="Employ proper technique for insertion of direct laryngoscopy blade (initial insertion, direction of movement, correction application of force)","L.O.5",IF(A5="Adjust blade appropriately to obtain optimal laryngeal view","L.O.6", IF(A5="Avoid injury to the patient with laryngoscope or endotracheal tube (lips, teeth, oropharyngeal tissues, larynx, trachea)","L.O.7",IF(A5="Ensure proper placement of endotracheal tube","L.O.8", IF(A5="N/A",0,0)))))))))</f>
        <v>0</v>
      </c>
      <c r="Q5">
        <f t="shared" ref="Q5:R5" si="0">IF(B5="Describe medications used to prepare a patient for endotracheal intubation","L.O.1",IF(B5="Identify equipment needed for endotracheal intubation", "L.O.2", IF(B5="Relate position of patient head and neck to optimal laryngeal view","L.O.3",IF(B5="Distinguish features of normal and difficult airway anatomy","L.O.4",IF(B5="Employ proper technique for insertion of direct laryngoscopy blade (initial insertion, direction of movement, correction application of force)","L.O.5",IF(B5="Adjust blade appropriately to obtain optimal laryngeal view","L.O.6", IF(B5="Avoid injury to the patient with laryngoscope or endotracheal tube (lips, teeth, oropharyngeal tissues, larynx, trachea)","L.O.7",IF(B5="Ensure proper placement of endotracheal tube","L.O.8", IF(B5="N/A",0,0)))))))))</f>
        <v>0</v>
      </c>
      <c r="R5">
        <f t="shared" si="0"/>
        <v>0</v>
      </c>
    </row>
    <row r="6" spans="1:18" ht="19.5" x14ac:dyDescent="0.25">
      <c r="A6" s="22"/>
      <c r="B6" s="22"/>
      <c r="C6" s="20"/>
      <c r="D6" s="17" t="s">
        <v>96</v>
      </c>
      <c r="E6" s="32"/>
      <c r="G6" s="4">
        <f>IF(A6="Describe medications used to prepare a patient for endotracheal intubation","A",IF(B6="Describe medications used to prepare a patient for endotracheal intubation", "B", IF(C6="Describe medications used to prepare a patient for endotracheal intubation","C",0)))</f>
        <v>0</v>
      </c>
      <c r="H6" s="28">
        <f>IF(A6="Identify equipment needed for endotracheal intubation","A",IF(B6="Identify equipment needed for endotracheal intubation", "B", IF(C6="Identify equipment needed for endotracheal intubation","C",0)))</f>
        <v>0</v>
      </c>
      <c r="I6" s="4">
        <f>IF(A6="Relate position of patient head and neck to optimal laryngeal view","A",IF(B6="Relate position of patient head and neck to optimal laryngeal view", "B", IF(C6="Relate position of patient head and neck to optimal laryngeal view","C",0)))</f>
        <v>0</v>
      </c>
      <c r="J6" s="4">
        <f>IF(A6="Distinguish features of normal and difficult airway anatomy","A",IF(B6="Distinguish features of normal and difficult airway anatomy", "B", IF(C6="Distinguish features of normal and difficult airway anatomy","C",0)))</f>
        <v>0</v>
      </c>
      <c r="K6" s="4">
        <f>IF(A6="Employ proper technique for insertion of direct laryngoscopy blade (initial insertion, direction of movement, correction application of force)","A",IF(B6="Employ proper technique for insertion of direct laryngoscopy blade (initial insertion, direction of movement, correction application of force)", "B", IF(C6="Employ proper technique for insertion of direct laryngoscopy blade (initial insertion, direction of movement, correction application of force)","C",0)))</f>
        <v>0</v>
      </c>
      <c r="L6" s="4">
        <f>IF(A6="Adjust blade appropriately to obtain optimal laryngeal view","A",IF(B6="Adjust blade appropriately to obtain optimal laryngeal view", "B", IF(C6="Adjust blade appropriately to obtain optimal laryngeal view","C",0)))</f>
        <v>0</v>
      </c>
      <c r="M6" s="4">
        <f>IF(A6="Avoid injury to the patient with laryngoscope or endotracheal tube (lips, teeth, oropharyngeal tissues, larynx, trachea)","A",IF(B6="Avoid injury to the patient with laryngoscope or endotracheal tube (lips, teeth, oropharyngeal tissues, larynx, trachea)", "B", IF(C6="Avoid injury to the patient with laryngoscope or endotracheal tube (lips, teeth, oropharyngeal tissues, larynx, trachea)","C",0)))</f>
        <v>0</v>
      </c>
      <c r="N6" s="4">
        <f>IF(A6="Ensure proper placement of endotracheal tube","A",IF(B6="Ensure proper placement of endotracheal tube", "B", IF(C6="Ensure proper placement of endotracheal tube","C",0)))</f>
        <v>0</v>
      </c>
      <c r="P6">
        <f t="shared" ref="P6:P9" si="1">IF(A6="Describe medications used to prepare a patient for endotracheal intubation","L.O.1",IF(A6="Identify equipment needed for endotracheal intubation", "L.O.2", IF(A6="Relate position of patient head and neck to optimal laryngeal view","L.O.3",IF(A6="Distinguish features of normal and difficult airway anatomy","L.O.4",IF(A6="Employ proper technique for insertion of direct laryngoscopy blade (initial insertion, direction of movement, correction application of force)","L.O.5",IF(A6="Adjust blade appropriately to obtain optimal laryngeal view","L.O.6", IF(A6="Avoid injury to the patient with laryngoscope or endotracheal tube (lips, teeth, oropharyngeal tissues, larynx, trachea)","L.O.7",IF(A6="Ensure proper placement of endotracheal tube","L.O.8", IF(A6="N/A",0,0)))))))))</f>
        <v>0</v>
      </c>
      <c r="Q6">
        <f t="shared" ref="Q6:Q9" si="2">IF(B6="Describe medications used to prepare a patient for endotracheal intubation","L.O.1",IF(B6="Identify equipment needed for endotracheal intubation", "L.O.2", IF(B6="Relate position of patient head and neck to optimal laryngeal view","L.O.3",IF(B6="Distinguish features of normal and difficult airway anatomy","L.O.4",IF(B6="Employ proper technique for insertion of direct laryngoscopy blade (initial insertion, direction of movement, correction application of force)","L.O.5",IF(B6="Adjust blade appropriately to obtain optimal laryngeal view","L.O.6", IF(B6="Avoid injury to the patient with laryngoscope or endotracheal tube (lips, teeth, oropharyngeal tissues, larynx, trachea)","L.O.7",IF(B6="Ensure proper placement of endotracheal tube","L.O.8", IF(B6="N/A",0,0)))))))))</f>
        <v>0</v>
      </c>
      <c r="R6">
        <f t="shared" ref="R6:R9" si="3">IF(C6="Describe medications used to prepare a patient for endotracheal intubation","L.O.1",IF(C6="Identify equipment needed for endotracheal intubation", "L.O.2", IF(C6="Relate position of patient head and neck to optimal laryngeal view","L.O.3",IF(C6="Distinguish features of normal and difficult airway anatomy","L.O.4",IF(C6="Employ proper technique for insertion of direct laryngoscopy blade (initial insertion, direction of movement, correction application of force)","L.O.5",IF(C6="Adjust blade appropriately to obtain optimal laryngeal view","L.O.6", IF(C6="Avoid injury to the patient with laryngoscope or endotracheal tube (lips, teeth, oropharyngeal tissues, larynx, trachea)","L.O.7",IF(C6="Ensure proper placement of endotracheal tube","L.O.8", IF(C6="N/A",0,0)))))))))</f>
        <v>0</v>
      </c>
    </row>
    <row r="7" spans="1:18" ht="18.75" x14ac:dyDescent="0.25">
      <c r="A7" s="22"/>
      <c r="B7" s="22"/>
      <c r="C7" s="20"/>
      <c r="D7" s="16" t="s">
        <v>141</v>
      </c>
      <c r="E7" s="33"/>
      <c r="G7" s="4">
        <f t="shared" ref="G7:G12" si="4">IF(A7="Describe medications used to prepare a patient for endotracheal intubation","A",IF(B7="Describe medications used to prepare a patient for endotracheal intubation", "B", IF(C7="Describe medications used to prepare a patient for endotracheal intubation","C",0)))</f>
        <v>0</v>
      </c>
      <c r="H7" s="28">
        <f t="shared" ref="H7:H12" si="5">IF(A7="Identify equipment needed for endotracheal intubation","A",IF(B7="Identify equipment needed for endotracheal intubation", "B", IF(C7="Identify equipment needed for endotracheal intubation","C",0)))</f>
        <v>0</v>
      </c>
      <c r="I7" s="4">
        <f t="shared" ref="I7:I12" si="6">IF(A7="Relate position of patient head and neck to optimal laryngeal view","A",IF(B7="Relate position of patient head and neck to optimal laryngeal view", "B", IF(C7="Relate position of patient head and neck to optimal laryngeal view","C",0)))</f>
        <v>0</v>
      </c>
      <c r="J7" s="4">
        <f t="shared" ref="J7:J12" si="7">IF(A7="Distinguish features of normal and difficult airway anatomy","A",IF(B7="Distinguish features of normal and difficult airway anatomy", "B", IF(C7="Distinguish features of normal and difficult airway anatomy","C",0)))</f>
        <v>0</v>
      </c>
      <c r="K7" s="4">
        <f t="shared" ref="K7:K12" si="8">IF(A7="Employ proper technique for insertion of direct laryngoscopy blade (initial insertion, direction of movement, correction application of force)","A",IF(B7="Employ proper technique for insertion of direct laryngoscopy blade (initial insertion, direction of movement, correction application of force)", "B", IF(C7="Employ proper technique for insertion of direct laryngoscopy blade (initial insertion, direction of movement, correction application of force)","C",0)))</f>
        <v>0</v>
      </c>
      <c r="L7" s="4">
        <f t="shared" ref="L7:L12" si="9">IF(A7="Adjust blade appropriately to obtain optimal laryngeal view","A",IF(B7="Adjust blade appropriately to obtain optimal laryngeal view", "B", IF(C7="Adjust blade appropriately to obtain optimal laryngeal view","C",0)))</f>
        <v>0</v>
      </c>
      <c r="M7" s="4">
        <f t="shared" ref="M7:M12" si="10">IF(A7="Avoid injury to the patient with laryngoscope or endotracheal tube (lips, teeth, oropharyngeal tissues, larynx, trachea)","A",IF(B7="Avoid injury to the patient with laryngoscope or endotracheal tube (lips, teeth, oropharyngeal tissues, larynx, trachea)", "B", IF(C7="Avoid injury to the patient with laryngoscope or endotracheal tube (lips, teeth, oropharyngeal tissues, larynx, trachea)","C",0)))</f>
        <v>0</v>
      </c>
      <c r="N7" s="4">
        <f t="shared" ref="N7:N12" si="11">IF(A7="Ensure proper placement of endotracheal tube","A",IF(B7="Ensure proper placement of endotracheal tube", "B", IF(C7="Ensure proper placement of endotracheal tube","C",0)))</f>
        <v>0</v>
      </c>
      <c r="P7">
        <f t="shared" si="1"/>
        <v>0</v>
      </c>
      <c r="Q7">
        <f t="shared" si="2"/>
        <v>0</v>
      </c>
      <c r="R7">
        <f t="shared" si="3"/>
        <v>0</v>
      </c>
    </row>
    <row r="8" spans="1:18" ht="15.75" x14ac:dyDescent="0.25">
      <c r="A8" s="22"/>
      <c r="B8" s="22"/>
      <c r="C8" s="20"/>
      <c r="D8" s="18" t="s">
        <v>0</v>
      </c>
      <c r="E8" s="34"/>
      <c r="G8" s="4">
        <f t="shared" si="4"/>
        <v>0</v>
      </c>
      <c r="H8" s="28">
        <f t="shared" si="5"/>
        <v>0</v>
      </c>
      <c r="I8" s="4">
        <f t="shared" si="6"/>
        <v>0</v>
      </c>
      <c r="J8" s="4">
        <f t="shared" si="7"/>
        <v>0</v>
      </c>
      <c r="K8" s="4">
        <f t="shared" si="8"/>
        <v>0</v>
      </c>
      <c r="L8" s="4">
        <f t="shared" si="9"/>
        <v>0</v>
      </c>
      <c r="M8" s="4">
        <f t="shared" si="10"/>
        <v>0</v>
      </c>
      <c r="N8" s="4">
        <f t="shared" si="11"/>
        <v>0</v>
      </c>
      <c r="P8">
        <f t="shared" si="1"/>
        <v>0</v>
      </c>
      <c r="Q8">
        <f t="shared" si="2"/>
        <v>0</v>
      </c>
      <c r="R8">
        <f t="shared" si="3"/>
        <v>0</v>
      </c>
    </row>
    <row r="9" spans="1:18" ht="15.75" x14ac:dyDescent="0.25">
      <c r="A9" s="22"/>
      <c r="B9" s="22"/>
      <c r="C9" s="20"/>
      <c r="D9" s="18" t="s">
        <v>1</v>
      </c>
      <c r="E9" s="34"/>
      <c r="G9" s="4">
        <f t="shared" si="4"/>
        <v>0</v>
      </c>
      <c r="H9" s="28">
        <f t="shared" si="5"/>
        <v>0</v>
      </c>
      <c r="I9" s="4">
        <f t="shared" si="6"/>
        <v>0</v>
      </c>
      <c r="J9" s="4">
        <f t="shared" si="7"/>
        <v>0</v>
      </c>
      <c r="K9" s="4">
        <f t="shared" si="8"/>
        <v>0</v>
      </c>
      <c r="L9" s="4">
        <f t="shared" si="9"/>
        <v>0</v>
      </c>
      <c r="M9" s="4">
        <f t="shared" si="10"/>
        <v>0</v>
      </c>
      <c r="N9" s="4">
        <f t="shared" si="11"/>
        <v>0</v>
      </c>
      <c r="P9">
        <f t="shared" si="1"/>
        <v>0</v>
      </c>
      <c r="Q9">
        <f t="shared" si="2"/>
        <v>0</v>
      </c>
      <c r="R9">
        <f t="shared" si="3"/>
        <v>0</v>
      </c>
    </row>
    <row r="10" spans="1:18" ht="15.75" x14ac:dyDescent="0.25">
      <c r="A10" s="22"/>
      <c r="B10" s="22"/>
      <c r="C10" s="20"/>
      <c r="D10" s="18" t="s">
        <v>2</v>
      </c>
      <c r="E10" s="34"/>
      <c r="G10" s="4">
        <f t="shared" si="4"/>
        <v>0</v>
      </c>
      <c r="H10" s="28">
        <f t="shared" si="5"/>
        <v>0</v>
      </c>
      <c r="I10" s="4">
        <f t="shared" si="6"/>
        <v>0</v>
      </c>
      <c r="J10" s="4">
        <f t="shared" si="7"/>
        <v>0</v>
      </c>
      <c r="K10" s="4">
        <f t="shared" si="8"/>
        <v>0</v>
      </c>
      <c r="L10" s="4">
        <f t="shared" si="9"/>
        <v>0</v>
      </c>
      <c r="M10" s="4">
        <f t="shared" si="10"/>
        <v>0</v>
      </c>
      <c r="N10" s="4">
        <f t="shared" si="11"/>
        <v>0</v>
      </c>
      <c r="P10">
        <f t="shared" ref="P10:P73" si="12">IF(A10="Describe medications used to prepare a patient for endotracheal intubation","L.O.1",IF(A10="Identify equipment needed for endotracheal intubation", "L.O.2", IF(A10="Relate position of patient head and neck to optimal laryngeal view","L.O.3",IF(A10="Distinguish features of normal and difficult airway anatomy","L.O.4",IF(A10="Employ proper technique for insertion of direct laryngoscopy blade (initial insertion, direction of movement, correction application of force)","L.O.5",IF(A10="Adjust blade appropriately to obtain optimal laryngeal view","L.O.6", IF(A10="Avoid injury to the patient with laryngoscope or endotracheal tube (lips, teeth, oropharyngeal tissues, larynx, trachea)","L.O.7",IF(A10="Ensure proper placement of endotracheal tube","L.O.8", IF(A10="N/A",0,0)))))))))</f>
        <v>0</v>
      </c>
      <c r="Q10">
        <f t="shared" ref="Q10:Q73" si="13">IF(B10="Describe medications used to prepare a patient for endotracheal intubation","L.O.1",IF(B10="Identify equipment needed for endotracheal intubation", "L.O.2", IF(B10="Relate position of patient head and neck to optimal laryngeal view","L.O.3",IF(B10="Distinguish features of normal and difficult airway anatomy","L.O.4",IF(B10="Employ proper technique for insertion of direct laryngoscopy blade (initial insertion, direction of movement, correction application of force)","L.O.5",IF(B10="Adjust blade appropriately to obtain optimal laryngeal view","L.O.6", IF(B10="Avoid injury to the patient with laryngoscope or endotracheal tube (lips, teeth, oropharyngeal tissues, larynx, trachea)","L.O.7",IF(B10="Ensure proper placement of endotracheal tube","L.O.8", IF(B10="N/A",0,0)))))))))</f>
        <v>0</v>
      </c>
      <c r="R10">
        <f t="shared" ref="R10:R73" si="14">IF(C10="Describe medications used to prepare a patient for endotracheal intubation","L.O.1",IF(C10="Identify equipment needed for endotracheal intubation", "L.O.2", IF(C10="Relate position of patient head and neck to optimal laryngeal view","L.O.3",IF(C10="Distinguish features of normal and difficult airway anatomy","L.O.4",IF(C10="Employ proper technique for insertion of direct laryngoscopy blade (initial insertion, direction of movement, correction application of force)","L.O.5",IF(C10="Adjust blade appropriately to obtain optimal laryngeal view","L.O.6", IF(C10="Avoid injury to the patient with laryngoscope or endotracheal tube (lips, teeth, oropharyngeal tissues, larynx, trachea)","L.O.7",IF(C10="Ensure proper placement of endotracheal tube","L.O.8", IF(C10="N/A",0,0)))))))))</f>
        <v>0</v>
      </c>
    </row>
    <row r="11" spans="1:18" ht="15.75" x14ac:dyDescent="0.25">
      <c r="A11" s="22"/>
      <c r="B11" s="22"/>
      <c r="C11" s="20"/>
      <c r="D11" s="19" t="s">
        <v>3</v>
      </c>
      <c r="E11" s="35"/>
      <c r="G11" s="37">
        <f t="shared" si="4"/>
        <v>0</v>
      </c>
      <c r="H11" s="38">
        <f t="shared" si="5"/>
        <v>0</v>
      </c>
      <c r="I11" s="37">
        <f t="shared" si="6"/>
        <v>0</v>
      </c>
      <c r="J11" s="37">
        <f t="shared" si="7"/>
        <v>0</v>
      </c>
      <c r="K11" s="37">
        <f t="shared" si="8"/>
        <v>0</v>
      </c>
      <c r="L11" s="37">
        <f t="shared" si="9"/>
        <v>0</v>
      </c>
      <c r="M11" s="37">
        <f t="shared" si="10"/>
        <v>0</v>
      </c>
      <c r="N11" s="37">
        <f t="shared" si="11"/>
        <v>0</v>
      </c>
      <c r="O11" s="39"/>
      <c r="P11" s="39">
        <f t="shared" si="12"/>
        <v>0</v>
      </c>
      <c r="Q11" s="39">
        <f t="shared" si="13"/>
        <v>0</v>
      </c>
      <c r="R11" s="39">
        <f t="shared" si="14"/>
        <v>0</v>
      </c>
    </row>
    <row r="12" spans="1:18" ht="15.75" x14ac:dyDescent="0.25">
      <c r="A12" s="22"/>
      <c r="B12" s="22"/>
      <c r="C12" s="20"/>
      <c r="D12" s="19" t="s">
        <v>4</v>
      </c>
      <c r="E12" s="35"/>
      <c r="G12" s="37">
        <f t="shared" si="4"/>
        <v>0</v>
      </c>
      <c r="H12" s="38">
        <f t="shared" si="5"/>
        <v>0</v>
      </c>
      <c r="I12" s="37">
        <f t="shared" si="6"/>
        <v>0</v>
      </c>
      <c r="J12" s="37">
        <f t="shared" si="7"/>
        <v>0</v>
      </c>
      <c r="K12" s="37">
        <f t="shared" si="8"/>
        <v>0</v>
      </c>
      <c r="L12" s="37">
        <f t="shared" si="9"/>
        <v>0</v>
      </c>
      <c r="M12" s="37">
        <f t="shared" si="10"/>
        <v>0</v>
      </c>
      <c r="N12" s="37">
        <f t="shared" si="11"/>
        <v>0</v>
      </c>
      <c r="O12" s="39"/>
      <c r="P12" s="39">
        <f t="shared" si="12"/>
        <v>0</v>
      </c>
      <c r="Q12" s="39">
        <f t="shared" si="13"/>
        <v>0</v>
      </c>
      <c r="R12" s="39">
        <f t="shared" si="14"/>
        <v>0</v>
      </c>
    </row>
    <row r="13" spans="1:18" ht="15.75" x14ac:dyDescent="0.25">
      <c r="A13" s="22"/>
      <c r="B13" s="22"/>
      <c r="C13" s="20"/>
      <c r="D13" s="19" t="s">
        <v>5</v>
      </c>
      <c r="E13" s="35"/>
      <c r="G13" s="37">
        <f t="shared" ref="G13:G76" si="15">IF(A13="Describe medications used to prepare a patient for endotracheal intubation","A",IF(B13="Describe medications used to prepare a patient for endotracheal intubation", "B", IF(C13="Describe medications used to prepare a patient for endotracheal intubation","C",0)))</f>
        <v>0</v>
      </c>
      <c r="H13" s="38">
        <f t="shared" ref="H13:H76" si="16">IF(A13="Identify equipment needed for endotracheal intubation","A",IF(B13="Identify equipment needed for endotracheal intubation", "B", IF(C13="Identify equipment needed for endotracheal intubation","C",0)))</f>
        <v>0</v>
      </c>
      <c r="I13" s="37">
        <f t="shared" ref="I13:I76" si="17">IF(A13="Relate position of patient head and neck to optimal laryngeal view","A",IF(B13="Relate position of patient head and neck to optimal laryngeal view", "B", IF(C13="Relate position of patient head and neck to optimal laryngeal view","C",0)))</f>
        <v>0</v>
      </c>
      <c r="J13" s="37">
        <f t="shared" ref="J13:J76" si="18">IF(A13="Distinguish features of normal and difficult airway anatomy","A",IF(B13="Distinguish features of normal and difficult airway anatomy", "B", IF(C13="Distinguish features of normal and difficult airway anatomy","C",0)))</f>
        <v>0</v>
      </c>
      <c r="K13" s="37">
        <f t="shared" ref="K13:K76" si="19">IF(A13="Employ proper technique for insertion of direct laryngoscopy blade (initial insertion, direction of movement, correction application of force)","A",IF(B13="Employ proper technique for insertion of direct laryngoscopy blade (initial insertion, direction of movement, correction application of force)", "B", IF(C13="Employ proper technique for insertion of direct laryngoscopy blade (initial insertion, direction of movement, correction application of force)","C",0)))</f>
        <v>0</v>
      </c>
      <c r="L13" s="37">
        <f t="shared" ref="L13:L76" si="20">IF(A13="Adjust blade appropriately to obtain optimal laryngeal view","A",IF(B13="Adjust blade appropriately to obtain optimal laryngeal view", "B", IF(C13="Adjust blade appropriately to obtain optimal laryngeal view","C",0)))</f>
        <v>0</v>
      </c>
      <c r="M13" s="37">
        <f t="shared" ref="M13:M76" si="21">IF(A13="Avoid injury to the patient with laryngoscope or endotracheal tube (lips, teeth, oropharyngeal tissues, larynx, trachea)","A",IF(B13="Avoid injury to the patient with laryngoscope or endotracheal tube (lips, teeth, oropharyngeal tissues, larynx, trachea)", "B", IF(C13="Avoid injury to the patient with laryngoscope or endotracheal tube (lips, teeth, oropharyngeal tissues, larynx, trachea)","C",0)))</f>
        <v>0</v>
      </c>
      <c r="N13" s="37">
        <f t="shared" ref="N13:N76" si="22">IF(A13="Ensure proper placement of endotracheal tube","A",IF(B13="Ensure proper placement of endotracheal tube", "B", IF(C13="Ensure proper placement of endotracheal tube","C",0)))</f>
        <v>0</v>
      </c>
      <c r="O13" s="39"/>
      <c r="P13" s="39">
        <f t="shared" si="12"/>
        <v>0</v>
      </c>
      <c r="Q13" s="39">
        <f t="shared" si="13"/>
        <v>0</v>
      </c>
      <c r="R13" s="39">
        <f t="shared" si="14"/>
        <v>0</v>
      </c>
    </row>
    <row r="14" spans="1:18" ht="15.75" x14ac:dyDescent="0.25">
      <c r="A14" s="22"/>
      <c r="B14" s="22"/>
      <c r="C14" s="20"/>
      <c r="D14" s="19" t="s">
        <v>6</v>
      </c>
      <c r="E14" s="35"/>
      <c r="G14" s="37">
        <f t="shared" si="15"/>
        <v>0</v>
      </c>
      <c r="H14" s="38">
        <f t="shared" si="16"/>
        <v>0</v>
      </c>
      <c r="I14" s="37">
        <f t="shared" si="17"/>
        <v>0</v>
      </c>
      <c r="J14" s="37">
        <f t="shared" si="18"/>
        <v>0</v>
      </c>
      <c r="K14" s="37">
        <f t="shared" si="19"/>
        <v>0</v>
      </c>
      <c r="L14" s="37">
        <f t="shared" si="20"/>
        <v>0</v>
      </c>
      <c r="M14" s="37">
        <f t="shared" si="21"/>
        <v>0</v>
      </c>
      <c r="N14" s="37">
        <f t="shared" si="22"/>
        <v>0</v>
      </c>
      <c r="O14" s="39"/>
      <c r="P14" s="39">
        <f t="shared" si="12"/>
        <v>0</v>
      </c>
      <c r="Q14" s="39">
        <f t="shared" si="13"/>
        <v>0</v>
      </c>
      <c r="R14" s="39">
        <f t="shared" si="14"/>
        <v>0</v>
      </c>
    </row>
    <row r="15" spans="1:18" ht="15.75" x14ac:dyDescent="0.25">
      <c r="A15" s="22"/>
      <c r="B15" s="22"/>
      <c r="C15" s="20"/>
      <c r="D15" s="18" t="s">
        <v>147</v>
      </c>
      <c r="E15" s="34"/>
      <c r="G15" s="37">
        <f t="shared" si="15"/>
        <v>0</v>
      </c>
      <c r="H15" s="38">
        <f t="shared" si="16"/>
        <v>0</v>
      </c>
      <c r="I15" s="37">
        <f t="shared" si="17"/>
        <v>0</v>
      </c>
      <c r="J15" s="37">
        <f t="shared" si="18"/>
        <v>0</v>
      </c>
      <c r="K15" s="37">
        <f t="shared" si="19"/>
        <v>0</v>
      </c>
      <c r="L15" s="37">
        <f t="shared" si="20"/>
        <v>0</v>
      </c>
      <c r="M15" s="37">
        <f t="shared" si="21"/>
        <v>0</v>
      </c>
      <c r="N15" s="37">
        <f t="shared" si="22"/>
        <v>0</v>
      </c>
      <c r="O15" s="39"/>
      <c r="P15" s="39">
        <f t="shared" si="12"/>
        <v>0</v>
      </c>
      <c r="Q15" s="39">
        <f t="shared" si="13"/>
        <v>0</v>
      </c>
      <c r="R15" s="39">
        <f t="shared" si="14"/>
        <v>0</v>
      </c>
    </row>
    <row r="16" spans="1:18" ht="15.75" x14ac:dyDescent="0.25">
      <c r="A16" s="22"/>
      <c r="B16" s="22"/>
      <c r="C16" s="20"/>
      <c r="D16" s="18" t="s">
        <v>8</v>
      </c>
      <c r="E16" s="34"/>
      <c r="F16" s="11"/>
      <c r="G16" s="37">
        <f t="shared" si="15"/>
        <v>0</v>
      </c>
      <c r="H16" s="38">
        <f t="shared" si="16"/>
        <v>0</v>
      </c>
      <c r="I16" s="37">
        <f t="shared" si="17"/>
        <v>0</v>
      </c>
      <c r="J16" s="37">
        <f t="shared" si="18"/>
        <v>0</v>
      </c>
      <c r="K16" s="37">
        <f t="shared" si="19"/>
        <v>0</v>
      </c>
      <c r="L16" s="37">
        <f t="shared" si="20"/>
        <v>0</v>
      </c>
      <c r="M16" s="37">
        <f t="shared" si="21"/>
        <v>0</v>
      </c>
      <c r="N16" s="37">
        <f t="shared" si="22"/>
        <v>0</v>
      </c>
      <c r="O16" s="39"/>
      <c r="P16" s="39">
        <f t="shared" si="12"/>
        <v>0</v>
      </c>
      <c r="Q16" s="39">
        <f t="shared" si="13"/>
        <v>0</v>
      </c>
      <c r="R16" s="39">
        <f t="shared" si="14"/>
        <v>0</v>
      </c>
    </row>
    <row r="17" spans="1:18" ht="15.75" x14ac:dyDescent="0.25">
      <c r="A17" s="22"/>
      <c r="B17" s="22"/>
      <c r="C17" s="20"/>
      <c r="D17" s="18" t="s">
        <v>9</v>
      </c>
      <c r="E17" s="34"/>
      <c r="G17" s="37">
        <f t="shared" si="15"/>
        <v>0</v>
      </c>
      <c r="H17" s="38">
        <f t="shared" si="16"/>
        <v>0</v>
      </c>
      <c r="I17" s="37">
        <f t="shared" si="17"/>
        <v>0</v>
      </c>
      <c r="J17" s="37">
        <f t="shared" si="18"/>
        <v>0</v>
      </c>
      <c r="K17" s="37">
        <f t="shared" si="19"/>
        <v>0</v>
      </c>
      <c r="L17" s="37">
        <f t="shared" si="20"/>
        <v>0</v>
      </c>
      <c r="M17" s="37">
        <f t="shared" si="21"/>
        <v>0</v>
      </c>
      <c r="N17" s="37">
        <f t="shared" si="22"/>
        <v>0</v>
      </c>
      <c r="O17" s="39"/>
      <c r="P17" s="39">
        <f t="shared" si="12"/>
        <v>0</v>
      </c>
      <c r="Q17" s="39">
        <f t="shared" si="13"/>
        <v>0</v>
      </c>
      <c r="R17" s="39">
        <f t="shared" si="14"/>
        <v>0</v>
      </c>
    </row>
    <row r="18" spans="1:18" ht="15.75" x14ac:dyDescent="0.25">
      <c r="A18" s="22"/>
      <c r="B18" s="23"/>
      <c r="C18" s="20"/>
      <c r="D18" s="18" t="s">
        <v>10</v>
      </c>
      <c r="E18" s="34"/>
      <c r="G18" s="37">
        <f t="shared" si="15"/>
        <v>0</v>
      </c>
      <c r="H18" s="38">
        <f t="shared" si="16"/>
        <v>0</v>
      </c>
      <c r="I18" s="37">
        <f t="shared" si="17"/>
        <v>0</v>
      </c>
      <c r="J18" s="37">
        <f t="shared" si="18"/>
        <v>0</v>
      </c>
      <c r="K18" s="37">
        <f t="shared" si="19"/>
        <v>0</v>
      </c>
      <c r="L18" s="37">
        <f t="shared" si="20"/>
        <v>0</v>
      </c>
      <c r="M18" s="37">
        <f t="shared" si="21"/>
        <v>0</v>
      </c>
      <c r="N18" s="37">
        <f t="shared" si="22"/>
        <v>0</v>
      </c>
      <c r="O18" s="39"/>
      <c r="P18" s="39">
        <f t="shared" si="12"/>
        <v>0</v>
      </c>
      <c r="Q18" s="39">
        <f t="shared" si="13"/>
        <v>0</v>
      </c>
      <c r="R18" s="39">
        <f t="shared" si="14"/>
        <v>0</v>
      </c>
    </row>
    <row r="19" spans="1:18" ht="15.75" x14ac:dyDescent="0.25">
      <c r="A19" s="22"/>
      <c r="B19" s="23"/>
      <c r="C19" s="20"/>
      <c r="D19" s="18" t="s">
        <v>11</v>
      </c>
      <c r="E19" s="34"/>
      <c r="G19" s="37">
        <f t="shared" si="15"/>
        <v>0</v>
      </c>
      <c r="H19" s="38">
        <f t="shared" si="16"/>
        <v>0</v>
      </c>
      <c r="I19" s="37">
        <f t="shared" si="17"/>
        <v>0</v>
      </c>
      <c r="J19" s="37">
        <f t="shared" si="18"/>
        <v>0</v>
      </c>
      <c r="K19" s="37">
        <f t="shared" si="19"/>
        <v>0</v>
      </c>
      <c r="L19" s="37">
        <f t="shared" si="20"/>
        <v>0</v>
      </c>
      <c r="M19" s="37">
        <f t="shared" si="21"/>
        <v>0</v>
      </c>
      <c r="N19" s="37">
        <f t="shared" si="22"/>
        <v>0</v>
      </c>
      <c r="O19" s="39"/>
      <c r="P19" s="39">
        <f t="shared" si="12"/>
        <v>0</v>
      </c>
      <c r="Q19" s="39">
        <f t="shared" si="13"/>
        <v>0</v>
      </c>
      <c r="R19" s="39">
        <f t="shared" si="14"/>
        <v>0</v>
      </c>
    </row>
    <row r="20" spans="1:18" ht="15.75" x14ac:dyDescent="0.25">
      <c r="A20" s="22"/>
      <c r="B20" s="23"/>
      <c r="C20" s="20"/>
      <c r="D20" s="18" t="s">
        <v>12</v>
      </c>
      <c r="E20" s="34"/>
      <c r="G20" s="37">
        <f t="shared" si="15"/>
        <v>0</v>
      </c>
      <c r="H20" s="38">
        <f t="shared" si="16"/>
        <v>0</v>
      </c>
      <c r="I20" s="37">
        <f t="shared" si="17"/>
        <v>0</v>
      </c>
      <c r="J20" s="37">
        <f t="shared" si="18"/>
        <v>0</v>
      </c>
      <c r="K20" s="37">
        <f t="shared" si="19"/>
        <v>0</v>
      </c>
      <c r="L20" s="37">
        <f t="shared" si="20"/>
        <v>0</v>
      </c>
      <c r="M20" s="37">
        <f t="shared" si="21"/>
        <v>0</v>
      </c>
      <c r="N20" s="37">
        <f t="shared" si="22"/>
        <v>0</v>
      </c>
      <c r="O20" s="39"/>
      <c r="P20" s="39">
        <f t="shared" si="12"/>
        <v>0</v>
      </c>
      <c r="Q20" s="39">
        <f t="shared" si="13"/>
        <v>0</v>
      </c>
      <c r="R20" s="39">
        <f t="shared" si="14"/>
        <v>0</v>
      </c>
    </row>
    <row r="21" spans="1:18" ht="15.75" x14ac:dyDescent="0.25">
      <c r="A21" s="22"/>
      <c r="B21" s="23"/>
      <c r="C21" s="20"/>
      <c r="D21" s="18" t="s">
        <v>13</v>
      </c>
      <c r="E21" s="34"/>
      <c r="G21" s="37">
        <f t="shared" si="15"/>
        <v>0</v>
      </c>
      <c r="H21" s="38">
        <f t="shared" si="16"/>
        <v>0</v>
      </c>
      <c r="I21" s="37">
        <f t="shared" si="17"/>
        <v>0</v>
      </c>
      <c r="J21" s="37">
        <f t="shared" si="18"/>
        <v>0</v>
      </c>
      <c r="K21" s="37">
        <f t="shared" si="19"/>
        <v>0</v>
      </c>
      <c r="L21" s="37">
        <f t="shared" si="20"/>
        <v>0</v>
      </c>
      <c r="M21" s="37">
        <f t="shared" si="21"/>
        <v>0</v>
      </c>
      <c r="N21" s="37">
        <f t="shared" si="22"/>
        <v>0</v>
      </c>
      <c r="O21" s="39"/>
      <c r="P21" s="39">
        <f t="shared" si="12"/>
        <v>0</v>
      </c>
      <c r="Q21" s="39">
        <f t="shared" si="13"/>
        <v>0</v>
      </c>
      <c r="R21" s="39">
        <f t="shared" si="14"/>
        <v>0</v>
      </c>
    </row>
    <row r="22" spans="1:18" ht="15.75" x14ac:dyDescent="0.25">
      <c r="A22" s="22"/>
      <c r="B22" s="23"/>
      <c r="C22" s="20"/>
      <c r="D22" s="18" t="s">
        <v>14</v>
      </c>
      <c r="E22" s="34"/>
      <c r="G22" s="37">
        <f t="shared" si="15"/>
        <v>0</v>
      </c>
      <c r="H22" s="38">
        <f t="shared" si="16"/>
        <v>0</v>
      </c>
      <c r="I22" s="37">
        <f t="shared" si="17"/>
        <v>0</v>
      </c>
      <c r="J22" s="37">
        <f t="shared" si="18"/>
        <v>0</v>
      </c>
      <c r="K22" s="37">
        <f t="shared" si="19"/>
        <v>0</v>
      </c>
      <c r="L22" s="37">
        <f t="shared" si="20"/>
        <v>0</v>
      </c>
      <c r="M22" s="37">
        <f t="shared" si="21"/>
        <v>0</v>
      </c>
      <c r="N22" s="37">
        <f t="shared" si="22"/>
        <v>0</v>
      </c>
      <c r="O22" s="39"/>
      <c r="P22" s="39">
        <f t="shared" si="12"/>
        <v>0</v>
      </c>
      <c r="Q22" s="39">
        <f t="shared" si="13"/>
        <v>0</v>
      </c>
      <c r="R22" s="39">
        <f t="shared" si="14"/>
        <v>0</v>
      </c>
    </row>
    <row r="23" spans="1:18" ht="15.75" x14ac:dyDescent="0.25">
      <c r="A23" s="22"/>
      <c r="B23" s="23"/>
      <c r="C23" s="20"/>
      <c r="D23" s="18" t="s">
        <v>15</v>
      </c>
      <c r="E23" s="34"/>
      <c r="G23" s="37">
        <f t="shared" si="15"/>
        <v>0</v>
      </c>
      <c r="H23" s="38">
        <f t="shared" si="16"/>
        <v>0</v>
      </c>
      <c r="I23" s="37">
        <f t="shared" si="17"/>
        <v>0</v>
      </c>
      <c r="J23" s="37">
        <f t="shared" si="18"/>
        <v>0</v>
      </c>
      <c r="K23" s="37">
        <f t="shared" si="19"/>
        <v>0</v>
      </c>
      <c r="L23" s="37">
        <f t="shared" si="20"/>
        <v>0</v>
      </c>
      <c r="M23" s="37">
        <f t="shared" si="21"/>
        <v>0</v>
      </c>
      <c r="N23" s="37">
        <f t="shared" si="22"/>
        <v>0</v>
      </c>
      <c r="O23" s="39"/>
      <c r="P23" s="39">
        <f t="shared" si="12"/>
        <v>0</v>
      </c>
      <c r="Q23" s="39">
        <f t="shared" si="13"/>
        <v>0</v>
      </c>
      <c r="R23" s="39">
        <f t="shared" si="14"/>
        <v>0</v>
      </c>
    </row>
    <row r="24" spans="1:18" ht="19.5" x14ac:dyDescent="0.25">
      <c r="A24" s="22"/>
      <c r="B24" s="23"/>
      <c r="C24" s="20"/>
      <c r="D24" s="17" t="s">
        <v>95</v>
      </c>
      <c r="E24" s="32"/>
      <c r="G24" s="37">
        <f t="shared" si="15"/>
        <v>0</v>
      </c>
      <c r="H24" s="38">
        <f t="shared" si="16"/>
        <v>0</v>
      </c>
      <c r="I24" s="37">
        <f t="shared" si="17"/>
        <v>0</v>
      </c>
      <c r="J24" s="37">
        <f t="shared" si="18"/>
        <v>0</v>
      </c>
      <c r="K24" s="37">
        <f t="shared" si="19"/>
        <v>0</v>
      </c>
      <c r="L24" s="37">
        <f t="shared" si="20"/>
        <v>0</v>
      </c>
      <c r="M24" s="37">
        <f t="shared" si="21"/>
        <v>0</v>
      </c>
      <c r="N24" s="37">
        <f t="shared" si="22"/>
        <v>0</v>
      </c>
      <c r="O24" s="39"/>
      <c r="P24" s="39">
        <f t="shared" si="12"/>
        <v>0</v>
      </c>
      <c r="Q24" s="39">
        <f t="shared" si="13"/>
        <v>0</v>
      </c>
      <c r="R24" s="39">
        <f t="shared" si="14"/>
        <v>0</v>
      </c>
    </row>
    <row r="25" spans="1:18" ht="18.75" x14ac:dyDescent="0.25">
      <c r="A25" s="22"/>
      <c r="B25" s="23"/>
      <c r="C25" s="20"/>
      <c r="D25" s="16" t="s">
        <v>98</v>
      </c>
      <c r="E25" s="33"/>
      <c r="G25" s="37">
        <f t="shared" si="15"/>
        <v>0</v>
      </c>
      <c r="H25" s="38">
        <f t="shared" si="16"/>
        <v>0</v>
      </c>
      <c r="I25" s="37">
        <f t="shared" si="17"/>
        <v>0</v>
      </c>
      <c r="J25" s="37">
        <f t="shared" si="18"/>
        <v>0</v>
      </c>
      <c r="K25" s="37">
        <f t="shared" si="19"/>
        <v>0</v>
      </c>
      <c r="L25" s="37">
        <f t="shared" si="20"/>
        <v>0</v>
      </c>
      <c r="M25" s="37">
        <f t="shared" si="21"/>
        <v>0</v>
      </c>
      <c r="N25" s="37">
        <f t="shared" si="22"/>
        <v>0</v>
      </c>
      <c r="O25" s="39"/>
      <c r="P25" s="39">
        <f t="shared" si="12"/>
        <v>0</v>
      </c>
      <c r="Q25" s="39">
        <f t="shared" si="13"/>
        <v>0</v>
      </c>
      <c r="R25" s="39">
        <f t="shared" si="14"/>
        <v>0</v>
      </c>
    </row>
    <row r="26" spans="1:18" ht="15.75" x14ac:dyDescent="0.25">
      <c r="A26" s="22"/>
      <c r="B26" s="23"/>
      <c r="C26" s="20"/>
      <c r="D26" s="18" t="s">
        <v>16</v>
      </c>
      <c r="E26" s="34"/>
      <c r="G26" s="37">
        <f t="shared" si="15"/>
        <v>0</v>
      </c>
      <c r="H26" s="38">
        <f t="shared" si="16"/>
        <v>0</v>
      </c>
      <c r="I26" s="37">
        <f t="shared" si="17"/>
        <v>0</v>
      </c>
      <c r="J26" s="37">
        <f t="shared" si="18"/>
        <v>0</v>
      </c>
      <c r="K26" s="37">
        <f t="shared" si="19"/>
        <v>0</v>
      </c>
      <c r="L26" s="37">
        <f t="shared" si="20"/>
        <v>0</v>
      </c>
      <c r="M26" s="37">
        <f t="shared" si="21"/>
        <v>0</v>
      </c>
      <c r="N26" s="37">
        <f t="shared" si="22"/>
        <v>0</v>
      </c>
      <c r="O26" s="39"/>
      <c r="P26" s="39">
        <f t="shared" si="12"/>
        <v>0</v>
      </c>
      <c r="Q26" s="39">
        <f t="shared" si="13"/>
        <v>0</v>
      </c>
      <c r="R26" s="39">
        <f t="shared" si="14"/>
        <v>0</v>
      </c>
    </row>
    <row r="27" spans="1:18" ht="15.75" x14ac:dyDescent="0.25">
      <c r="A27" s="22"/>
      <c r="B27" s="23"/>
      <c r="C27" s="20"/>
      <c r="D27" s="18" t="s">
        <v>17</v>
      </c>
      <c r="E27" s="34"/>
      <c r="G27" s="37">
        <f t="shared" si="15"/>
        <v>0</v>
      </c>
      <c r="H27" s="38">
        <f t="shared" si="16"/>
        <v>0</v>
      </c>
      <c r="I27" s="37">
        <f t="shared" si="17"/>
        <v>0</v>
      </c>
      <c r="J27" s="37">
        <f t="shared" si="18"/>
        <v>0</v>
      </c>
      <c r="K27" s="37">
        <f t="shared" si="19"/>
        <v>0</v>
      </c>
      <c r="L27" s="37">
        <f t="shared" si="20"/>
        <v>0</v>
      </c>
      <c r="M27" s="37">
        <f t="shared" si="21"/>
        <v>0</v>
      </c>
      <c r="N27" s="37">
        <f t="shared" si="22"/>
        <v>0</v>
      </c>
      <c r="O27" s="39"/>
      <c r="P27" s="39">
        <f t="shared" si="12"/>
        <v>0</v>
      </c>
      <c r="Q27" s="39">
        <f t="shared" si="13"/>
        <v>0</v>
      </c>
      <c r="R27" s="39">
        <f t="shared" si="14"/>
        <v>0</v>
      </c>
    </row>
    <row r="28" spans="1:18" ht="15.75" x14ac:dyDescent="0.25">
      <c r="A28" s="22"/>
      <c r="B28" s="23"/>
      <c r="C28" s="20"/>
      <c r="D28" s="42" t="s">
        <v>167</v>
      </c>
      <c r="E28" s="34"/>
      <c r="G28" s="37">
        <f t="shared" si="15"/>
        <v>0</v>
      </c>
      <c r="H28" s="38">
        <f t="shared" si="16"/>
        <v>0</v>
      </c>
      <c r="I28" s="37">
        <f t="shared" si="17"/>
        <v>0</v>
      </c>
      <c r="J28" s="37">
        <f t="shared" si="18"/>
        <v>0</v>
      </c>
      <c r="K28" s="37">
        <f t="shared" si="19"/>
        <v>0</v>
      </c>
      <c r="L28" s="37">
        <f t="shared" si="20"/>
        <v>0</v>
      </c>
      <c r="M28" s="37">
        <f t="shared" si="21"/>
        <v>0</v>
      </c>
      <c r="N28" s="37">
        <f t="shared" si="22"/>
        <v>0</v>
      </c>
      <c r="O28" s="39"/>
      <c r="P28" s="39">
        <f t="shared" si="12"/>
        <v>0</v>
      </c>
      <c r="Q28" s="39">
        <f t="shared" si="13"/>
        <v>0</v>
      </c>
      <c r="R28" s="39">
        <f t="shared" si="14"/>
        <v>0</v>
      </c>
    </row>
    <row r="29" spans="1:18" ht="15.75" x14ac:dyDescent="0.25">
      <c r="A29" s="22"/>
      <c r="B29" s="23"/>
      <c r="C29" s="20"/>
      <c r="D29" s="42" t="s">
        <v>168</v>
      </c>
      <c r="E29" s="34"/>
      <c r="G29" s="37">
        <f t="shared" si="15"/>
        <v>0</v>
      </c>
      <c r="H29" s="38">
        <f t="shared" si="16"/>
        <v>0</v>
      </c>
      <c r="I29" s="37">
        <f t="shared" si="17"/>
        <v>0</v>
      </c>
      <c r="J29" s="37">
        <f t="shared" si="18"/>
        <v>0</v>
      </c>
      <c r="K29" s="37">
        <f t="shared" si="19"/>
        <v>0</v>
      </c>
      <c r="L29" s="37">
        <f t="shared" si="20"/>
        <v>0</v>
      </c>
      <c r="M29" s="37">
        <f t="shared" si="21"/>
        <v>0</v>
      </c>
      <c r="N29" s="37">
        <f t="shared" si="22"/>
        <v>0</v>
      </c>
      <c r="O29" s="39"/>
      <c r="P29" s="39">
        <f t="shared" si="12"/>
        <v>0</v>
      </c>
      <c r="Q29" s="39">
        <f t="shared" si="13"/>
        <v>0</v>
      </c>
      <c r="R29" s="39">
        <f t="shared" si="14"/>
        <v>0</v>
      </c>
    </row>
    <row r="30" spans="1:18" ht="15.75" x14ac:dyDescent="0.25">
      <c r="A30" s="22"/>
      <c r="B30" s="23"/>
      <c r="C30" s="20"/>
      <c r="D30" s="42" t="s">
        <v>169</v>
      </c>
      <c r="E30" s="34"/>
      <c r="G30" s="37">
        <f t="shared" si="15"/>
        <v>0</v>
      </c>
      <c r="H30" s="38">
        <f t="shared" si="16"/>
        <v>0</v>
      </c>
      <c r="I30" s="37">
        <f t="shared" si="17"/>
        <v>0</v>
      </c>
      <c r="J30" s="37">
        <f t="shared" si="18"/>
        <v>0</v>
      </c>
      <c r="K30" s="37">
        <f t="shared" si="19"/>
        <v>0</v>
      </c>
      <c r="L30" s="37">
        <f t="shared" si="20"/>
        <v>0</v>
      </c>
      <c r="M30" s="37">
        <f t="shared" si="21"/>
        <v>0</v>
      </c>
      <c r="N30" s="37">
        <f t="shared" si="22"/>
        <v>0</v>
      </c>
      <c r="O30" s="39"/>
      <c r="P30" s="39">
        <f t="shared" si="12"/>
        <v>0</v>
      </c>
      <c r="Q30" s="39">
        <f t="shared" si="13"/>
        <v>0</v>
      </c>
      <c r="R30" s="39">
        <f t="shared" si="14"/>
        <v>0</v>
      </c>
    </row>
    <row r="31" spans="1:18" ht="15.75" x14ac:dyDescent="0.25">
      <c r="A31" s="22"/>
      <c r="B31" s="23"/>
      <c r="C31" s="20"/>
      <c r="D31" s="18" t="s">
        <v>2</v>
      </c>
      <c r="E31" s="34"/>
      <c r="G31" s="37">
        <f t="shared" si="15"/>
        <v>0</v>
      </c>
      <c r="H31" s="38">
        <f t="shared" si="16"/>
        <v>0</v>
      </c>
      <c r="I31" s="37">
        <f t="shared" si="17"/>
        <v>0</v>
      </c>
      <c r="J31" s="37">
        <f t="shared" si="18"/>
        <v>0</v>
      </c>
      <c r="K31" s="37">
        <f t="shared" si="19"/>
        <v>0</v>
      </c>
      <c r="L31" s="37">
        <f t="shared" si="20"/>
        <v>0</v>
      </c>
      <c r="M31" s="37">
        <f t="shared" si="21"/>
        <v>0</v>
      </c>
      <c r="N31" s="37">
        <f t="shared" si="22"/>
        <v>0</v>
      </c>
      <c r="O31" s="39"/>
      <c r="P31" s="39">
        <f t="shared" si="12"/>
        <v>0</v>
      </c>
      <c r="Q31" s="39">
        <f t="shared" si="13"/>
        <v>0</v>
      </c>
      <c r="R31" s="39">
        <f t="shared" si="14"/>
        <v>0</v>
      </c>
    </row>
    <row r="32" spans="1:18" ht="15.75" x14ac:dyDescent="0.25">
      <c r="A32" s="22"/>
      <c r="B32" s="23"/>
      <c r="C32" s="20"/>
      <c r="D32" s="18" t="s">
        <v>21</v>
      </c>
      <c r="E32" s="34"/>
      <c r="G32" s="37">
        <f t="shared" si="15"/>
        <v>0</v>
      </c>
      <c r="H32" s="38">
        <f t="shared" si="16"/>
        <v>0</v>
      </c>
      <c r="I32" s="37">
        <f t="shared" si="17"/>
        <v>0</v>
      </c>
      <c r="J32" s="37">
        <f t="shared" si="18"/>
        <v>0</v>
      </c>
      <c r="K32" s="37">
        <f t="shared" si="19"/>
        <v>0</v>
      </c>
      <c r="L32" s="37">
        <f t="shared" si="20"/>
        <v>0</v>
      </c>
      <c r="M32" s="37">
        <f t="shared" si="21"/>
        <v>0</v>
      </c>
      <c r="N32" s="37">
        <f t="shared" si="22"/>
        <v>0</v>
      </c>
      <c r="O32" s="39"/>
      <c r="P32" s="39">
        <f t="shared" si="12"/>
        <v>0</v>
      </c>
      <c r="Q32" s="39">
        <f t="shared" si="13"/>
        <v>0</v>
      </c>
      <c r="R32" s="39">
        <f t="shared" si="14"/>
        <v>0</v>
      </c>
    </row>
    <row r="33" spans="1:18" ht="15.75" x14ac:dyDescent="0.25">
      <c r="A33" s="22"/>
      <c r="B33" s="23"/>
      <c r="C33" s="20"/>
      <c r="D33" s="18" t="s">
        <v>22</v>
      </c>
      <c r="E33" s="34"/>
      <c r="G33" s="37">
        <f t="shared" si="15"/>
        <v>0</v>
      </c>
      <c r="H33" s="38">
        <f t="shared" si="16"/>
        <v>0</v>
      </c>
      <c r="I33" s="37">
        <f t="shared" si="17"/>
        <v>0</v>
      </c>
      <c r="J33" s="37">
        <f t="shared" si="18"/>
        <v>0</v>
      </c>
      <c r="K33" s="37">
        <f t="shared" si="19"/>
        <v>0</v>
      </c>
      <c r="L33" s="37">
        <f t="shared" si="20"/>
        <v>0</v>
      </c>
      <c r="M33" s="37">
        <f t="shared" si="21"/>
        <v>0</v>
      </c>
      <c r="N33" s="37">
        <f t="shared" si="22"/>
        <v>0</v>
      </c>
      <c r="O33" s="39"/>
      <c r="P33" s="39">
        <f t="shared" si="12"/>
        <v>0</v>
      </c>
      <c r="Q33" s="39">
        <f t="shared" si="13"/>
        <v>0</v>
      </c>
      <c r="R33" s="39">
        <f t="shared" si="14"/>
        <v>0</v>
      </c>
    </row>
    <row r="34" spans="1:18" ht="18.75" x14ac:dyDescent="0.25">
      <c r="A34" s="22"/>
      <c r="B34" s="23"/>
      <c r="C34" s="20"/>
      <c r="D34" s="16" t="s">
        <v>99</v>
      </c>
      <c r="E34" s="33"/>
      <c r="G34" s="37">
        <f t="shared" si="15"/>
        <v>0</v>
      </c>
      <c r="H34" s="38">
        <f t="shared" si="16"/>
        <v>0</v>
      </c>
      <c r="I34" s="37">
        <f t="shared" si="17"/>
        <v>0</v>
      </c>
      <c r="J34" s="37">
        <f t="shared" si="18"/>
        <v>0</v>
      </c>
      <c r="K34" s="37">
        <f t="shared" si="19"/>
        <v>0</v>
      </c>
      <c r="L34" s="37">
        <f t="shared" si="20"/>
        <v>0</v>
      </c>
      <c r="M34" s="37">
        <f t="shared" si="21"/>
        <v>0</v>
      </c>
      <c r="N34" s="37">
        <f t="shared" si="22"/>
        <v>0</v>
      </c>
      <c r="O34" s="39"/>
      <c r="P34" s="39">
        <f t="shared" si="12"/>
        <v>0</v>
      </c>
      <c r="Q34" s="39">
        <f t="shared" si="13"/>
        <v>0</v>
      </c>
      <c r="R34" s="39">
        <f t="shared" si="14"/>
        <v>0</v>
      </c>
    </row>
    <row r="35" spans="1:18" ht="18.75" x14ac:dyDescent="0.25">
      <c r="A35" s="22"/>
      <c r="B35" s="23"/>
      <c r="C35" s="20"/>
      <c r="D35" s="16" t="s">
        <v>100</v>
      </c>
      <c r="E35" s="33"/>
      <c r="G35" s="37">
        <f t="shared" si="15"/>
        <v>0</v>
      </c>
      <c r="H35" s="38">
        <f t="shared" si="16"/>
        <v>0</v>
      </c>
      <c r="I35" s="37">
        <f t="shared" si="17"/>
        <v>0</v>
      </c>
      <c r="J35" s="37">
        <f t="shared" si="18"/>
        <v>0</v>
      </c>
      <c r="K35" s="37">
        <f t="shared" si="19"/>
        <v>0</v>
      </c>
      <c r="L35" s="37">
        <f t="shared" si="20"/>
        <v>0</v>
      </c>
      <c r="M35" s="37">
        <f t="shared" si="21"/>
        <v>0</v>
      </c>
      <c r="N35" s="37">
        <f t="shared" si="22"/>
        <v>0</v>
      </c>
      <c r="O35" s="39"/>
      <c r="P35" s="39">
        <f t="shared" si="12"/>
        <v>0</v>
      </c>
      <c r="Q35" s="39">
        <f t="shared" si="13"/>
        <v>0</v>
      </c>
      <c r="R35" s="39">
        <f t="shared" si="14"/>
        <v>0</v>
      </c>
    </row>
    <row r="36" spans="1:18" ht="18.75" x14ac:dyDescent="0.25">
      <c r="A36" s="22"/>
      <c r="B36" s="23"/>
      <c r="C36" s="20"/>
      <c r="D36" s="25" t="s">
        <v>151</v>
      </c>
      <c r="E36" s="36"/>
      <c r="G36" s="37">
        <f t="shared" si="15"/>
        <v>0</v>
      </c>
      <c r="H36" s="38">
        <f t="shared" si="16"/>
        <v>0</v>
      </c>
      <c r="I36" s="37">
        <f t="shared" si="17"/>
        <v>0</v>
      </c>
      <c r="J36" s="37">
        <f t="shared" si="18"/>
        <v>0</v>
      </c>
      <c r="K36" s="37">
        <f t="shared" si="19"/>
        <v>0</v>
      </c>
      <c r="L36" s="37">
        <f t="shared" si="20"/>
        <v>0</v>
      </c>
      <c r="M36" s="37">
        <f t="shared" si="21"/>
        <v>0</v>
      </c>
      <c r="N36" s="37">
        <f t="shared" si="22"/>
        <v>0</v>
      </c>
      <c r="O36" s="39"/>
      <c r="P36" s="39">
        <f t="shared" si="12"/>
        <v>0</v>
      </c>
      <c r="Q36" s="39">
        <f t="shared" si="13"/>
        <v>0</v>
      </c>
      <c r="R36" s="39">
        <f t="shared" si="14"/>
        <v>0</v>
      </c>
    </row>
    <row r="37" spans="1:18" ht="19.5" x14ac:dyDescent="0.25">
      <c r="A37" s="22"/>
      <c r="B37" s="22"/>
      <c r="C37" s="20"/>
      <c r="D37" s="17" t="s">
        <v>145</v>
      </c>
      <c r="E37" s="32"/>
      <c r="G37" s="37">
        <f t="shared" si="15"/>
        <v>0</v>
      </c>
      <c r="H37" s="38">
        <f t="shared" si="16"/>
        <v>0</v>
      </c>
      <c r="I37" s="37">
        <f t="shared" si="17"/>
        <v>0</v>
      </c>
      <c r="J37" s="37">
        <f t="shared" si="18"/>
        <v>0</v>
      </c>
      <c r="K37" s="37">
        <f t="shared" si="19"/>
        <v>0</v>
      </c>
      <c r="L37" s="37">
        <f t="shared" si="20"/>
        <v>0</v>
      </c>
      <c r="M37" s="37">
        <f t="shared" si="21"/>
        <v>0</v>
      </c>
      <c r="N37" s="37">
        <f t="shared" si="22"/>
        <v>0</v>
      </c>
      <c r="O37" s="39"/>
      <c r="P37" s="39">
        <f t="shared" si="12"/>
        <v>0</v>
      </c>
      <c r="Q37" s="39">
        <f t="shared" si="13"/>
        <v>0</v>
      </c>
      <c r="R37" s="39">
        <f t="shared" si="14"/>
        <v>0</v>
      </c>
    </row>
    <row r="38" spans="1:18" ht="19.5" x14ac:dyDescent="0.25">
      <c r="A38" s="22"/>
      <c r="B38" s="22"/>
      <c r="C38" s="20"/>
      <c r="D38" s="17" t="s">
        <v>146</v>
      </c>
      <c r="E38" s="32"/>
      <c r="G38" s="37">
        <f t="shared" si="15"/>
        <v>0</v>
      </c>
      <c r="H38" s="38">
        <f t="shared" si="16"/>
        <v>0</v>
      </c>
      <c r="I38" s="37">
        <f t="shared" si="17"/>
        <v>0</v>
      </c>
      <c r="J38" s="37">
        <f t="shared" si="18"/>
        <v>0</v>
      </c>
      <c r="K38" s="37">
        <f t="shared" si="19"/>
        <v>0</v>
      </c>
      <c r="L38" s="37">
        <f t="shared" si="20"/>
        <v>0</v>
      </c>
      <c r="M38" s="37">
        <f t="shared" si="21"/>
        <v>0</v>
      </c>
      <c r="N38" s="37">
        <f t="shared" si="22"/>
        <v>0</v>
      </c>
      <c r="O38" s="39"/>
      <c r="P38" s="39">
        <f t="shared" si="12"/>
        <v>0</v>
      </c>
      <c r="Q38" s="39">
        <f t="shared" si="13"/>
        <v>0</v>
      </c>
      <c r="R38" s="39">
        <f t="shared" si="14"/>
        <v>0</v>
      </c>
    </row>
    <row r="39" spans="1:18" ht="19.5" x14ac:dyDescent="0.25">
      <c r="A39" s="22"/>
      <c r="B39" s="22"/>
      <c r="C39" s="20"/>
      <c r="D39" s="17" t="s">
        <v>144</v>
      </c>
      <c r="E39" s="32"/>
      <c r="G39" s="37">
        <f t="shared" si="15"/>
        <v>0</v>
      </c>
      <c r="H39" s="38">
        <f t="shared" si="16"/>
        <v>0</v>
      </c>
      <c r="I39" s="37">
        <f t="shared" si="17"/>
        <v>0</v>
      </c>
      <c r="J39" s="37">
        <f t="shared" si="18"/>
        <v>0</v>
      </c>
      <c r="K39" s="37">
        <f t="shared" si="19"/>
        <v>0</v>
      </c>
      <c r="L39" s="37">
        <f t="shared" si="20"/>
        <v>0</v>
      </c>
      <c r="M39" s="37">
        <f t="shared" si="21"/>
        <v>0</v>
      </c>
      <c r="N39" s="37">
        <f t="shared" si="22"/>
        <v>0</v>
      </c>
      <c r="O39" s="39"/>
      <c r="P39" s="39">
        <f t="shared" si="12"/>
        <v>0</v>
      </c>
      <c r="Q39" s="39">
        <f t="shared" si="13"/>
        <v>0</v>
      </c>
      <c r="R39" s="39">
        <f t="shared" si="14"/>
        <v>0</v>
      </c>
    </row>
    <row r="40" spans="1:18" ht="19.5" x14ac:dyDescent="0.25">
      <c r="A40" s="22"/>
      <c r="B40" s="22"/>
      <c r="C40" s="20"/>
      <c r="D40" s="17" t="s">
        <v>143</v>
      </c>
      <c r="E40" s="32"/>
      <c r="G40" s="37">
        <f t="shared" si="15"/>
        <v>0</v>
      </c>
      <c r="H40" s="38">
        <f t="shared" si="16"/>
        <v>0</v>
      </c>
      <c r="I40" s="37">
        <f t="shared" si="17"/>
        <v>0</v>
      </c>
      <c r="J40" s="37">
        <f t="shared" si="18"/>
        <v>0</v>
      </c>
      <c r="K40" s="37">
        <f t="shared" si="19"/>
        <v>0</v>
      </c>
      <c r="L40" s="37">
        <f t="shared" si="20"/>
        <v>0</v>
      </c>
      <c r="M40" s="37">
        <f t="shared" si="21"/>
        <v>0</v>
      </c>
      <c r="N40" s="37">
        <f t="shared" si="22"/>
        <v>0</v>
      </c>
      <c r="O40" s="39"/>
      <c r="P40" s="39">
        <f t="shared" si="12"/>
        <v>0</v>
      </c>
      <c r="Q40" s="39">
        <f t="shared" si="13"/>
        <v>0</v>
      </c>
      <c r="R40" s="39">
        <f t="shared" si="14"/>
        <v>0</v>
      </c>
    </row>
    <row r="41" spans="1:18" ht="18.75" x14ac:dyDescent="0.25">
      <c r="A41" s="22"/>
      <c r="B41" s="22"/>
      <c r="C41" s="20"/>
      <c r="D41" s="16" t="s">
        <v>101</v>
      </c>
      <c r="E41" s="33"/>
      <c r="G41" s="37">
        <f t="shared" si="15"/>
        <v>0</v>
      </c>
      <c r="H41" s="38">
        <f t="shared" si="16"/>
        <v>0</v>
      </c>
      <c r="I41" s="37">
        <f t="shared" si="17"/>
        <v>0</v>
      </c>
      <c r="J41" s="37">
        <f t="shared" si="18"/>
        <v>0</v>
      </c>
      <c r="K41" s="37">
        <f t="shared" si="19"/>
        <v>0</v>
      </c>
      <c r="L41" s="37">
        <f t="shared" si="20"/>
        <v>0</v>
      </c>
      <c r="M41" s="37">
        <f t="shared" si="21"/>
        <v>0</v>
      </c>
      <c r="N41" s="37">
        <f t="shared" si="22"/>
        <v>0</v>
      </c>
      <c r="O41" s="39"/>
      <c r="P41" s="39">
        <f t="shared" si="12"/>
        <v>0</v>
      </c>
      <c r="Q41" s="39">
        <f t="shared" si="13"/>
        <v>0</v>
      </c>
      <c r="R41" s="39">
        <f t="shared" si="14"/>
        <v>0</v>
      </c>
    </row>
    <row r="42" spans="1:18" ht="18.75" x14ac:dyDescent="0.25">
      <c r="A42" s="22"/>
      <c r="B42" s="22"/>
      <c r="C42" s="20"/>
      <c r="D42" s="16" t="s">
        <v>102</v>
      </c>
      <c r="E42" s="33"/>
      <c r="G42" s="37">
        <f t="shared" si="15"/>
        <v>0</v>
      </c>
      <c r="H42" s="38">
        <f t="shared" si="16"/>
        <v>0</v>
      </c>
      <c r="I42" s="37">
        <f t="shared" si="17"/>
        <v>0</v>
      </c>
      <c r="J42" s="37">
        <f t="shared" si="18"/>
        <v>0</v>
      </c>
      <c r="K42" s="37">
        <f t="shared" si="19"/>
        <v>0</v>
      </c>
      <c r="L42" s="37">
        <f t="shared" si="20"/>
        <v>0</v>
      </c>
      <c r="M42" s="37">
        <f t="shared" si="21"/>
        <v>0</v>
      </c>
      <c r="N42" s="37">
        <f t="shared" si="22"/>
        <v>0</v>
      </c>
      <c r="O42" s="39"/>
      <c r="P42" s="39">
        <f t="shared" si="12"/>
        <v>0</v>
      </c>
      <c r="Q42" s="39">
        <f t="shared" si="13"/>
        <v>0</v>
      </c>
      <c r="R42" s="39">
        <f t="shared" si="14"/>
        <v>0</v>
      </c>
    </row>
    <row r="43" spans="1:18" ht="18.75" x14ac:dyDescent="0.25">
      <c r="A43" s="22"/>
      <c r="B43" s="22"/>
      <c r="C43" s="20"/>
      <c r="D43" s="16" t="s">
        <v>103</v>
      </c>
      <c r="E43" s="33"/>
      <c r="G43" s="37">
        <f t="shared" si="15"/>
        <v>0</v>
      </c>
      <c r="H43" s="38">
        <f t="shared" si="16"/>
        <v>0</v>
      </c>
      <c r="I43" s="37">
        <f t="shared" si="17"/>
        <v>0</v>
      </c>
      <c r="J43" s="37">
        <f t="shared" si="18"/>
        <v>0</v>
      </c>
      <c r="K43" s="37">
        <f t="shared" si="19"/>
        <v>0</v>
      </c>
      <c r="L43" s="37">
        <f t="shared" si="20"/>
        <v>0</v>
      </c>
      <c r="M43" s="37">
        <f t="shared" si="21"/>
        <v>0</v>
      </c>
      <c r="N43" s="37">
        <f t="shared" si="22"/>
        <v>0</v>
      </c>
      <c r="O43" s="39"/>
      <c r="P43" s="39">
        <f t="shared" si="12"/>
        <v>0</v>
      </c>
      <c r="Q43" s="39">
        <f t="shared" si="13"/>
        <v>0</v>
      </c>
      <c r="R43" s="39">
        <f t="shared" si="14"/>
        <v>0</v>
      </c>
    </row>
    <row r="44" spans="1:18" ht="15.75" x14ac:dyDescent="0.25">
      <c r="A44" s="22"/>
      <c r="B44" s="23"/>
      <c r="C44" s="20"/>
      <c r="D44" s="18" t="s">
        <v>27</v>
      </c>
      <c r="E44" s="34"/>
      <c r="G44" s="37">
        <f t="shared" si="15"/>
        <v>0</v>
      </c>
      <c r="H44" s="38">
        <f t="shared" si="16"/>
        <v>0</v>
      </c>
      <c r="I44" s="37">
        <f t="shared" si="17"/>
        <v>0</v>
      </c>
      <c r="J44" s="37">
        <f t="shared" si="18"/>
        <v>0</v>
      </c>
      <c r="K44" s="37">
        <f t="shared" si="19"/>
        <v>0</v>
      </c>
      <c r="L44" s="37">
        <f t="shared" si="20"/>
        <v>0</v>
      </c>
      <c r="M44" s="37">
        <f t="shared" si="21"/>
        <v>0</v>
      </c>
      <c r="N44" s="37">
        <f t="shared" si="22"/>
        <v>0</v>
      </c>
      <c r="O44" s="39"/>
      <c r="P44" s="39">
        <f t="shared" si="12"/>
        <v>0</v>
      </c>
      <c r="Q44" s="39">
        <f t="shared" si="13"/>
        <v>0</v>
      </c>
      <c r="R44" s="39">
        <f t="shared" si="14"/>
        <v>0</v>
      </c>
    </row>
    <row r="45" spans="1:18" ht="15.75" x14ac:dyDescent="0.25">
      <c r="A45" s="22"/>
      <c r="B45" s="23"/>
      <c r="C45" s="20"/>
      <c r="D45" s="18" t="s">
        <v>28</v>
      </c>
      <c r="E45" s="34"/>
      <c r="G45" s="37">
        <f t="shared" si="15"/>
        <v>0</v>
      </c>
      <c r="H45" s="38">
        <f t="shared" si="16"/>
        <v>0</v>
      </c>
      <c r="I45" s="37">
        <f t="shared" si="17"/>
        <v>0</v>
      </c>
      <c r="J45" s="37">
        <f t="shared" si="18"/>
        <v>0</v>
      </c>
      <c r="K45" s="37">
        <f t="shared" si="19"/>
        <v>0</v>
      </c>
      <c r="L45" s="37">
        <f t="shared" si="20"/>
        <v>0</v>
      </c>
      <c r="M45" s="37">
        <f t="shared" si="21"/>
        <v>0</v>
      </c>
      <c r="N45" s="37">
        <f t="shared" si="22"/>
        <v>0</v>
      </c>
      <c r="O45" s="39"/>
      <c r="P45" s="39">
        <f t="shared" si="12"/>
        <v>0</v>
      </c>
      <c r="Q45" s="39">
        <f t="shared" si="13"/>
        <v>0</v>
      </c>
      <c r="R45" s="39">
        <f t="shared" si="14"/>
        <v>0</v>
      </c>
    </row>
    <row r="46" spans="1:18" ht="18.75" x14ac:dyDescent="0.25">
      <c r="A46" s="22"/>
      <c r="B46" s="23"/>
      <c r="C46" s="20"/>
      <c r="D46" s="16" t="s">
        <v>104</v>
      </c>
      <c r="E46" s="33"/>
      <c r="G46" s="37">
        <f t="shared" si="15"/>
        <v>0</v>
      </c>
      <c r="H46" s="38">
        <f t="shared" si="16"/>
        <v>0</v>
      </c>
      <c r="I46" s="37">
        <f t="shared" si="17"/>
        <v>0</v>
      </c>
      <c r="J46" s="37">
        <f t="shared" si="18"/>
        <v>0</v>
      </c>
      <c r="K46" s="37">
        <f t="shared" si="19"/>
        <v>0</v>
      </c>
      <c r="L46" s="37">
        <f t="shared" si="20"/>
        <v>0</v>
      </c>
      <c r="M46" s="37">
        <f t="shared" si="21"/>
        <v>0</v>
      </c>
      <c r="N46" s="37">
        <f t="shared" si="22"/>
        <v>0</v>
      </c>
      <c r="O46" s="39"/>
      <c r="P46" s="39">
        <f t="shared" si="12"/>
        <v>0</v>
      </c>
      <c r="Q46" s="39">
        <f t="shared" si="13"/>
        <v>0</v>
      </c>
      <c r="R46" s="39">
        <f t="shared" si="14"/>
        <v>0</v>
      </c>
    </row>
    <row r="47" spans="1:18" ht="19.5" x14ac:dyDescent="0.25">
      <c r="A47" s="22"/>
      <c r="B47" s="23"/>
      <c r="C47" s="20"/>
      <c r="D47" s="17" t="s">
        <v>142</v>
      </c>
      <c r="E47" s="32"/>
      <c r="G47" s="37">
        <f t="shared" si="15"/>
        <v>0</v>
      </c>
      <c r="H47" s="38">
        <f t="shared" si="16"/>
        <v>0</v>
      </c>
      <c r="I47" s="37">
        <f t="shared" si="17"/>
        <v>0</v>
      </c>
      <c r="J47" s="37">
        <f t="shared" si="18"/>
        <v>0</v>
      </c>
      <c r="K47" s="37">
        <f t="shared" si="19"/>
        <v>0</v>
      </c>
      <c r="L47" s="37">
        <f t="shared" si="20"/>
        <v>0</v>
      </c>
      <c r="M47" s="37">
        <f t="shared" si="21"/>
        <v>0</v>
      </c>
      <c r="N47" s="37">
        <f t="shared" si="22"/>
        <v>0</v>
      </c>
      <c r="O47" s="39"/>
      <c r="P47" s="39">
        <f t="shared" si="12"/>
        <v>0</v>
      </c>
      <c r="Q47" s="39">
        <f t="shared" si="13"/>
        <v>0</v>
      </c>
      <c r="R47" s="39">
        <f t="shared" si="14"/>
        <v>0</v>
      </c>
    </row>
    <row r="48" spans="1:18" ht="18.75" x14ac:dyDescent="0.25">
      <c r="A48" s="22"/>
      <c r="B48" s="23"/>
      <c r="C48" s="20"/>
      <c r="D48" s="16" t="s">
        <v>105</v>
      </c>
      <c r="E48" s="33"/>
      <c r="G48" s="37">
        <f t="shared" si="15"/>
        <v>0</v>
      </c>
      <c r="H48" s="38">
        <f t="shared" si="16"/>
        <v>0</v>
      </c>
      <c r="I48" s="37">
        <f t="shared" si="17"/>
        <v>0</v>
      </c>
      <c r="J48" s="37">
        <f t="shared" si="18"/>
        <v>0</v>
      </c>
      <c r="K48" s="37">
        <f t="shared" si="19"/>
        <v>0</v>
      </c>
      <c r="L48" s="37">
        <f t="shared" si="20"/>
        <v>0</v>
      </c>
      <c r="M48" s="37">
        <f t="shared" si="21"/>
        <v>0</v>
      </c>
      <c r="N48" s="37">
        <f t="shared" si="22"/>
        <v>0</v>
      </c>
      <c r="O48" s="39"/>
      <c r="P48" s="39">
        <f t="shared" si="12"/>
        <v>0</v>
      </c>
      <c r="Q48" s="39">
        <f t="shared" si="13"/>
        <v>0</v>
      </c>
      <c r="R48" s="39">
        <f t="shared" si="14"/>
        <v>0</v>
      </c>
    </row>
    <row r="49" spans="1:18" ht="15.75" x14ac:dyDescent="0.25">
      <c r="A49" s="22"/>
      <c r="B49" s="23"/>
      <c r="C49" s="21"/>
      <c r="D49" s="18" t="s">
        <v>30</v>
      </c>
      <c r="E49" s="34"/>
      <c r="G49" s="37">
        <f t="shared" si="15"/>
        <v>0</v>
      </c>
      <c r="H49" s="38">
        <f t="shared" si="16"/>
        <v>0</v>
      </c>
      <c r="I49" s="37">
        <f t="shared" si="17"/>
        <v>0</v>
      </c>
      <c r="J49" s="37">
        <f t="shared" si="18"/>
        <v>0</v>
      </c>
      <c r="K49" s="37">
        <f t="shared" si="19"/>
        <v>0</v>
      </c>
      <c r="L49" s="37">
        <f t="shared" si="20"/>
        <v>0</v>
      </c>
      <c r="M49" s="37">
        <f t="shared" si="21"/>
        <v>0</v>
      </c>
      <c r="N49" s="37">
        <f t="shared" si="22"/>
        <v>0</v>
      </c>
      <c r="O49" s="39"/>
      <c r="P49" s="39">
        <f t="shared" si="12"/>
        <v>0</v>
      </c>
      <c r="Q49" s="39">
        <f t="shared" si="13"/>
        <v>0</v>
      </c>
      <c r="R49" s="39">
        <f t="shared" si="14"/>
        <v>0</v>
      </c>
    </row>
    <row r="50" spans="1:18" ht="15.75" x14ac:dyDescent="0.25">
      <c r="A50" s="22"/>
      <c r="B50" s="23"/>
      <c r="C50" s="21"/>
      <c r="D50" s="18" t="s">
        <v>31</v>
      </c>
      <c r="E50" s="34"/>
      <c r="G50" s="37">
        <f t="shared" si="15"/>
        <v>0</v>
      </c>
      <c r="H50" s="38">
        <f t="shared" si="16"/>
        <v>0</v>
      </c>
      <c r="I50" s="37">
        <f t="shared" si="17"/>
        <v>0</v>
      </c>
      <c r="J50" s="37">
        <f t="shared" si="18"/>
        <v>0</v>
      </c>
      <c r="K50" s="37">
        <f t="shared" si="19"/>
        <v>0</v>
      </c>
      <c r="L50" s="37">
        <f t="shared" si="20"/>
        <v>0</v>
      </c>
      <c r="M50" s="37">
        <f t="shared" si="21"/>
        <v>0</v>
      </c>
      <c r="N50" s="37">
        <f t="shared" si="22"/>
        <v>0</v>
      </c>
      <c r="O50" s="39"/>
      <c r="P50" s="39">
        <f t="shared" si="12"/>
        <v>0</v>
      </c>
      <c r="Q50" s="39">
        <f t="shared" si="13"/>
        <v>0</v>
      </c>
      <c r="R50" s="39">
        <f t="shared" si="14"/>
        <v>0</v>
      </c>
    </row>
    <row r="51" spans="1:18" ht="18.75" x14ac:dyDescent="0.25">
      <c r="A51" s="22"/>
      <c r="B51" s="23"/>
      <c r="C51" s="21"/>
      <c r="D51" s="16" t="s">
        <v>106</v>
      </c>
      <c r="E51" s="33"/>
      <c r="G51" s="37">
        <f t="shared" si="15"/>
        <v>0</v>
      </c>
      <c r="H51" s="38">
        <f t="shared" si="16"/>
        <v>0</v>
      </c>
      <c r="I51" s="37">
        <f t="shared" si="17"/>
        <v>0</v>
      </c>
      <c r="J51" s="37">
        <f t="shared" si="18"/>
        <v>0</v>
      </c>
      <c r="K51" s="37">
        <f t="shared" si="19"/>
        <v>0</v>
      </c>
      <c r="L51" s="37">
        <f t="shared" si="20"/>
        <v>0</v>
      </c>
      <c r="M51" s="37">
        <f t="shared" si="21"/>
        <v>0</v>
      </c>
      <c r="N51" s="37">
        <f t="shared" si="22"/>
        <v>0</v>
      </c>
      <c r="O51" s="39"/>
      <c r="P51" s="39">
        <f t="shared" si="12"/>
        <v>0</v>
      </c>
      <c r="Q51" s="39">
        <f t="shared" si="13"/>
        <v>0</v>
      </c>
      <c r="R51" s="39">
        <f t="shared" si="14"/>
        <v>0</v>
      </c>
    </row>
    <row r="52" spans="1:18" ht="18.75" x14ac:dyDescent="0.25">
      <c r="A52" s="22"/>
      <c r="B52" s="23"/>
      <c r="C52" s="21"/>
      <c r="D52" s="16" t="s">
        <v>107</v>
      </c>
      <c r="E52" s="33"/>
      <c r="G52" s="37">
        <f t="shared" si="15"/>
        <v>0</v>
      </c>
      <c r="H52" s="38">
        <f t="shared" si="16"/>
        <v>0</v>
      </c>
      <c r="I52" s="37">
        <f t="shared" si="17"/>
        <v>0</v>
      </c>
      <c r="J52" s="37">
        <f t="shared" si="18"/>
        <v>0</v>
      </c>
      <c r="K52" s="37">
        <f t="shared" si="19"/>
        <v>0</v>
      </c>
      <c r="L52" s="37">
        <f t="shared" si="20"/>
        <v>0</v>
      </c>
      <c r="M52" s="37">
        <f t="shared" si="21"/>
        <v>0</v>
      </c>
      <c r="N52" s="37">
        <f t="shared" si="22"/>
        <v>0</v>
      </c>
      <c r="O52" s="39"/>
      <c r="P52" s="39">
        <f t="shared" si="12"/>
        <v>0</v>
      </c>
      <c r="Q52" s="39">
        <f t="shared" si="13"/>
        <v>0</v>
      </c>
      <c r="R52" s="39">
        <f t="shared" si="14"/>
        <v>0</v>
      </c>
    </row>
    <row r="53" spans="1:18" ht="18.75" x14ac:dyDescent="0.25">
      <c r="A53" s="22"/>
      <c r="B53" s="23"/>
      <c r="C53" s="21"/>
      <c r="D53" s="16" t="s">
        <v>108</v>
      </c>
      <c r="E53" s="33"/>
      <c r="G53" s="37">
        <f t="shared" si="15"/>
        <v>0</v>
      </c>
      <c r="H53" s="38">
        <f t="shared" si="16"/>
        <v>0</v>
      </c>
      <c r="I53" s="37">
        <f t="shared" si="17"/>
        <v>0</v>
      </c>
      <c r="J53" s="37">
        <f t="shared" si="18"/>
        <v>0</v>
      </c>
      <c r="K53" s="37">
        <f t="shared" si="19"/>
        <v>0</v>
      </c>
      <c r="L53" s="37">
        <f t="shared" si="20"/>
        <v>0</v>
      </c>
      <c r="M53" s="37">
        <f t="shared" si="21"/>
        <v>0</v>
      </c>
      <c r="N53" s="37">
        <f t="shared" si="22"/>
        <v>0</v>
      </c>
      <c r="O53" s="39"/>
      <c r="P53" s="39">
        <f t="shared" si="12"/>
        <v>0</v>
      </c>
      <c r="Q53" s="39">
        <f t="shared" si="13"/>
        <v>0</v>
      </c>
      <c r="R53" s="39">
        <f t="shared" si="14"/>
        <v>0</v>
      </c>
    </row>
    <row r="54" spans="1:18" ht="15.75" x14ac:dyDescent="0.25">
      <c r="A54" s="22"/>
      <c r="B54" s="23"/>
      <c r="C54" s="21"/>
      <c r="D54" s="18" t="s">
        <v>32</v>
      </c>
      <c r="E54" s="34"/>
      <c r="G54" s="37">
        <f t="shared" si="15"/>
        <v>0</v>
      </c>
      <c r="H54" s="38">
        <f t="shared" si="16"/>
        <v>0</v>
      </c>
      <c r="I54" s="37">
        <f t="shared" si="17"/>
        <v>0</v>
      </c>
      <c r="J54" s="37">
        <f t="shared" si="18"/>
        <v>0</v>
      </c>
      <c r="K54" s="37">
        <f t="shared" si="19"/>
        <v>0</v>
      </c>
      <c r="L54" s="37">
        <f t="shared" si="20"/>
        <v>0</v>
      </c>
      <c r="M54" s="37">
        <f t="shared" si="21"/>
        <v>0</v>
      </c>
      <c r="N54" s="37">
        <f t="shared" si="22"/>
        <v>0</v>
      </c>
      <c r="O54" s="39"/>
      <c r="P54" s="39">
        <f t="shared" si="12"/>
        <v>0</v>
      </c>
      <c r="Q54" s="39">
        <f t="shared" si="13"/>
        <v>0</v>
      </c>
      <c r="R54" s="39">
        <f t="shared" si="14"/>
        <v>0</v>
      </c>
    </row>
    <row r="55" spans="1:18" ht="15.75" x14ac:dyDescent="0.25">
      <c r="A55" s="22"/>
      <c r="B55" s="23"/>
      <c r="C55" s="21"/>
      <c r="D55" s="18" t="s">
        <v>33</v>
      </c>
      <c r="E55" s="34"/>
      <c r="G55" s="37">
        <f t="shared" si="15"/>
        <v>0</v>
      </c>
      <c r="H55" s="38">
        <f t="shared" si="16"/>
        <v>0</v>
      </c>
      <c r="I55" s="37">
        <f t="shared" si="17"/>
        <v>0</v>
      </c>
      <c r="J55" s="37">
        <f t="shared" si="18"/>
        <v>0</v>
      </c>
      <c r="K55" s="37">
        <f t="shared" si="19"/>
        <v>0</v>
      </c>
      <c r="L55" s="37">
        <f t="shared" si="20"/>
        <v>0</v>
      </c>
      <c r="M55" s="37">
        <f t="shared" si="21"/>
        <v>0</v>
      </c>
      <c r="N55" s="37">
        <f t="shared" si="22"/>
        <v>0</v>
      </c>
      <c r="O55" s="39"/>
      <c r="P55" s="39">
        <f t="shared" si="12"/>
        <v>0</v>
      </c>
      <c r="Q55" s="39">
        <f t="shared" si="13"/>
        <v>0</v>
      </c>
      <c r="R55" s="39">
        <f t="shared" si="14"/>
        <v>0</v>
      </c>
    </row>
    <row r="56" spans="1:18" ht="15.75" x14ac:dyDescent="0.25">
      <c r="A56" s="22"/>
      <c r="B56" s="23"/>
      <c r="C56" s="21"/>
      <c r="D56" s="18" t="s">
        <v>34</v>
      </c>
      <c r="E56" s="34"/>
      <c r="G56" s="37">
        <f t="shared" si="15"/>
        <v>0</v>
      </c>
      <c r="H56" s="38">
        <f t="shared" si="16"/>
        <v>0</v>
      </c>
      <c r="I56" s="37">
        <f t="shared" si="17"/>
        <v>0</v>
      </c>
      <c r="J56" s="37">
        <f t="shared" si="18"/>
        <v>0</v>
      </c>
      <c r="K56" s="37">
        <f t="shared" si="19"/>
        <v>0</v>
      </c>
      <c r="L56" s="37">
        <f t="shared" si="20"/>
        <v>0</v>
      </c>
      <c r="M56" s="37">
        <f t="shared" si="21"/>
        <v>0</v>
      </c>
      <c r="N56" s="37">
        <f t="shared" si="22"/>
        <v>0</v>
      </c>
      <c r="O56" s="39"/>
      <c r="P56" s="39">
        <f t="shared" si="12"/>
        <v>0</v>
      </c>
      <c r="Q56" s="39">
        <f t="shared" si="13"/>
        <v>0</v>
      </c>
      <c r="R56" s="39">
        <f t="shared" si="14"/>
        <v>0</v>
      </c>
    </row>
    <row r="57" spans="1:18" ht="18.75" x14ac:dyDescent="0.25">
      <c r="A57" s="22"/>
      <c r="B57" s="23"/>
      <c r="C57" s="21"/>
      <c r="D57" s="16" t="s">
        <v>109</v>
      </c>
      <c r="E57" s="33"/>
      <c r="G57" s="37">
        <f t="shared" si="15"/>
        <v>0</v>
      </c>
      <c r="H57" s="38">
        <f t="shared" si="16"/>
        <v>0</v>
      </c>
      <c r="I57" s="37">
        <f t="shared" si="17"/>
        <v>0</v>
      </c>
      <c r="J57" s="37">
        <f t="shared" si="18"/>
        <v>0</v>
      </c>
      <c r="K57" s="37">
        <f t="shared" si="19"/>
        <v>0</v>
      </c>
      <c r="L57" s="37">
        <f t="shared" si="20"/>
        <v>0</v>
      </c>
      <c r="M57" s="37">
        <f t="shared" si="21"/>
        <v>0</v>
      </c>
      <c r="N57" s="37">
        <f t="shared" si="22"/>
        <v>0</v>
      </c>
      <c r="O57" s="39"/>
      <c r="P57" s="39">
        <f t="shared" si="12"/>
        <v>0</v>
      </c>
      <c r="Q57" s="39">
        <f t="shared" si="13"/>
        <v>0</v>
      </c>
      <c r="R57" s="39">
        <f t="shared" si="14"/>
        <v>0</v>
      </c>
    </row>
    <row r="58" spans="1:18" ht="18.75" x14ac:dyDescent="0.25">
      <c r="A58" s="22"/>
      <c r="B58" s="23"/>
      <c r="C58" s="21"/>
      <c r="D58" s="25" t="s">
        <v>152</v>
      </c>
      <c r="E58" s="36"/>
      <c r="G58" s="37">
        <f t="shared" si="15"/>
        <v>0</v>
      </c>
      <c r="H58" s="38">
        <f t="shared" si="16"/>
        <v>0</v>
      </c>
      <c r="I58" s="37">
        <f t="shared" si="17"/>
        <v>0</v>
      </c>
      <c r="J58" s="37">
        <f t="shared" si="18"/>
        <v>0</v>
      </c>
      <c r="K58" s="37">
        <f t="shared" si="19"/>
        <v>0</v>
      </c>
      <c r="L58" s="37">
        <f t="shared" si="20"/>
        <v>0</v>
      </c>
      <c r="M58" s="37">
        <f t="shared" si="21"/>
        <v>0</v>
      </c>
      <c r="N58" s="37">
        <f t="shared" si="22"/>
        <v>0</v>
      </c>
      <c r="O58" s="39"/>
      <c r="P58" s="39">
        <f t="shared" si="12"/>
        <v>0</v>
      </c>
      <c r="Q58" s="39">
        <f t="shared" si="13"/>
        <v>0</v>
      </c>
      <c r="R58" s="39">
        <f t="shared" si="14"/>
        <v>0</v>
      </c>
    </row>
    <row r="59" spans="1:18" ht="19.5" x14ac:dyDescent="0.25">
      <c r="A59" s="22"/>
      <c r="B59" s="23"/>
      <c r="C59" s="21"/>
      <c r="D59" s="17" t="s">
        <v>35</v>
      </c>
      <c r="E59" s="32"/>
      <c r="G59" s="37">
        <f t="shared" si="15"/>
        <v>0</v>
      </c>
      <c r="H59" s="38">
        <f t="shared" si="16"/>
        <v>0</v>
      </c>
      <c r="I59" s="37">
        <f t="shared" si="17"/>
        <v>0</v>
      </c>
      <c r="J59" s="37">
        <f t="shared" si="18"/>
        <v>0</v>
      </c>
      <c r="K59" s="37">
        <f t="shared" si="19"/>
        <v>0</v>
      </c>
      <c r="L59" s="37">
        <f t="shared" si="20"/>
        <v>0</v>
      </c>
      <c r="M59" s="37">
        <f t="shared" si="21"/>
        <v>0</v>
      </c>
      <c r="N59" s="37">
        <f t="shared" si="22"/>
        <v>0</v>
      </c>
      <c r="O59" s="39"/>
      <c r="P59" s="39">
        <f t="shared" si="12"/>
        <v>0</v>
      </c>
      <c r="Q59" s="39">
        <f t="shared" si="13"/>
        <v>0</v>
      </c>
      <c r="R59" s="39">
        <f t="shared" si="14"/>
        <v>0</v>
      </c>
    </row>
    <row r="60" spans="1:18" ht="18.75" x14ac:dyDescent="0.25">
      <c r="A60" s="22"/>
      <c r="B60" s="23"/>
      <c r="C60" s="21"/>
      <c r="D60" s="16" t="s">
        <v>110</v>
      </c>
      <c r="E60" s="33"/>
      <c r="G60" s="37">
        <f t="shared" si="15"/>
        <v>0</v>
      </c>
      <c r="H60" s="38">
        <f t="shared" si="16"/>
        <v>0</v>
      </c>
      <c r="I60" s="37">
        <f t="shared" si="17"/>
        <v>0</v>
      </c>
      <c r="J60" s="37">
        <f t="shared" si="18"/>
        <v>0</v>
      </c>
      <c r="K60" s="37">
        <f t="shared" si="19"/>
        <v>0</v>
      </c>
      <c r="L60" s="37">
        <f t="shared" si="20"/>
        <v>0</v>
      </c>
      <c r="M60" s="37">
        <f t="shared" si="21"/>
        <v>0</v>
      </c>
      <c r="N60" s="37">
        <f t="shared" si="22"/>
        <v>0</v>
      </c>
      <c r="O60" s="39"/>
      <c r="P60" s="39">
        <f t="shared" si="12"/>
        <v>0</v>
      </c>
      <c r="Q60" s="39">
        <f t="shared" si="13"/>
        <v>0</v>
      </c>
      <c r="R60" s="39">
        <f t="shared" si="14"/>
        <v>0</v>
      </c>
    </row>
    <row r="61" spans="1:18" ht="18.75" x14ac:dyDescent="0.25">
      <c r="A61" s="22"/>
      <c r="B61" s="23"/>
      <c r="C61" s="21"/>
      <c r="D61" s="16" t="s">
        <v>111</v>
      </c>
      <c r="E61" s="33"/>
      <c r="G61" s="37">
        <f t="shared" si="15"/>
        <v>0</v>
      </c>
      <c r="H61" s="38">
        <f t="shared" si="16"/>
        <v>0</v>
      </c>
      <c r="I61" s="37">
        <f t="shared" si="17"/>
        <v>0</v>
      </c>
      <c r="J61" s="37">
        <f t="shared" si="18"/>
        <v>0</v>
      </c>
      <c r="K61" s="37">
        <f t="shared" si="19"/>
        <v>0</v>
      </c>
      <c r="L61" s="37">
        <f t="shared" si="20"/>
        <v>0</v>
      </c>
      <c r="M61" s="37">
        <f t="shared" si="21"/>
        <v>0</v>
      </c>
      <c r="N61" s="37">
        <f t="shared" si="22"/>
        <v>0</v>
      </c>
      <c r="O61" s="39"/>
      <c r="P61" s="39">
        <f t="shared" si="12"/>
        <v>0</v>
      </c>
      <c r="Q61" s="39">
        <f t="shared" si="13"/>
        <v>0</v>
      </c>
      <c r="R61" s="39">
        <f t="shared" si="14"/>
        <v>0</v>
      </c>
    </row>
    <row r="62" spans="1:18" ht="15.75" x14ac:dyDescent="0.25">
      <c r="A62" s="22"/>
      <c r="B62" s="23"/>
      <c r="C62" s="21"/>
      <c r="D62" s="18" t="s">
        <v>36</v>
      </c>
      <c r="E62" s="34"/>
      <c r="G62" s="37">
        <f t="shared" si="15"/>
        <v>0</v>
      </c>
      <c r="H62" s="38">
        <f t="shared" si="16"/>
        <v>0</v>
      </c>
      <c r="I62" s="37">
        <f t="shared" si="17"/>
        <v>0</v>
      </c>
      <c r="J62" s="37">
        <f t="shared" si="18"/>
        <v>0</v>
      </c>
      <c r="K62" s="37">
        <f t="shared" si="19"/>
        <v>0</v>
      </c>
      <c r="L62" s="37">
        <f t="shared" si="20"/>
        <v>0</v>
      </c>
      <c r="M62" s="37">
        <f t="shared" si="21"/>
        <v>0</v>
      </c>
      <c r="N62" s="37">
        <f t="shared" si="22"/>
        <v>0</v>
      </c>
      <c r="O62" s="39"/>
      <c r="P62" s="39">
        <f t="shared" si="12"/>
        <v>0</v>
      </c>
      <c r="Q62" s="39">
        <f t="shared" si="13"/>
        <v>0</v>
      </c>
      <c r="R62" s="39">
        <f t="shared" si="14"/>
        <v>0</v>
      </c>
    </row>
    <row r="63" spans="1:18" ht="19.5" x14ac:dyDescent="0.25">
      <c r="A63" s="22"/>
      <c r="B63" s="23"/>
      <c r="C63" s="21"/>
      <c r="D63" s="17" t="s">
        <v>37</v>
      </c>
      <c r="E63" s="32"/>
      <c r="G63" s="37">
        <f t="shared" si="15"/>
        <v>0</v>
      </c>
      <c r="H63" s="38">
        <f t="shared" si="16"/>
        <v>0</v>
      </c>
      <c r="I63" s="37">
        <f t="shared" si="17"/>
        <v>0</v>
      </c>
      <c r="J63" s="37">
        <f t="shared" si="18"/>
        <v>0</v>
      </c>
      <c r="K63" s="37">
        <f t="shared" si="19"/>
        <v>0</v>
      </c>
      <c r="L63" s="37">
        <f t="shared" si="20"/>
        <v>0</v>
      </c>
      <c r="M63" s="37">
        <f t="shared" si="21"/>
        <v>0</v>
      </c>
      <c r="N63" s="37">
        <f t="shared" si="22"/>
        <v>0</v>
      </c>
      <c r="O63" s="39"/>
      <c r="P63" s="39">
        <f t="shared" si="12"/>
        <v>0</v>
      </c>
      <c r="Q63" s="39">
        <f t="shared" si="13"/>
        <v>0</v>
      </c>
      <c r="R63" s="39">
        <f t="shared" si="14"/>
        <v>0</v>
      </c>
    </row>
    <row r="64" spans="1:18" ht="18.75" x14ac:dyDescent="0.25">
      <c r="A64" s="22"/>
      <c r="B64" s="23"/>
      <c r="C64" s="21"/>
      <c r="D64" s="16" t="s">
        <v>112</v>
      </c>
      <c r="E64" s="33"/>
      <c r="G64" s="37">
        <f t="shared" si="15"/>
        <v>0</v>
      </c>
      <c r="H64" s="38">
        <f t="shared" si="16"/>
        <v>0</v>
      </c>
      <c r="I64" s="37">
        <f t="shared" si="17"/>
        <v>0</v>
      </c>
      <c r="J64" s="37">
        <f t="shared" si="18"/>
        <v>0</v>
      </c>
      <c r="K64" s="37">
        <f t="shared" si="19"/>
        <v>0</v>
      </c>
      <c r="L64" s="37">
        <f t="shared" si="20"/>
        <v>0</v>
      </c>
      <c r="M64" s="37">
        <f t="shared" si="21"/>
        <v>0</v>
      </c>
      <c r="N64" s="37">
        <f t="shared" si="22"/>
        <v>0</v>
      </c>
      <c r="O64" s="39"/>
      <c r="P64" s="39">
        <f t="shared" si="12"/>
        <v>0</v>
      </c>
      <c r="Q64" s="39">
        <f t="shared" si="13"/>
        <v>0</v>
      </c>
      <c r="R64" s="39">
        <f t="shared" si="14"/>
        <v>0</v>
      </c>
    </row>
    <row r="65" spans="1:18" ht="18.75" x14ac:dyDescent="0.25">
      <c r="A65" s="22"/>
      <c r="B65" s="23"/>
      <c r="C65" s="21"/>
      <c r="D65" s="16" t="s">
        <v>113</v>
      </c>
      <c r="E65" s="33"/>
      <c r="G65" s="37">
        <f t="shared" si="15"/>
        <v>0</v>
      </c>
      <c r="H65" s="38">
        <f t="shared" si="16"/>
        <v>0</v>
      </c>
      <c r="I65" s="37">
        <f t="shared" si="17"/>
        <v>0</v>
      </c>
      <c r="J65" s="37">
        <f t="shared" si="18"/>
        <v>0</v>
      </c>
      <c r="K65" s="37">
        <f t="shared" si="19"/>
        <v>0</v>
      </c>
      <c r="L65" s="37">
        <f t="shared" si="20"/>
        <v>0</v>
      </c>
      <c r="M65" s="37">
        <f t="shared" si="21"/>
        <v>0</v>
      </c>
      <c r="N65" s="37">
        <f t="shared" si="22"/>
        <v>0</v>
      </c>
      <c r="O65" s="39"/>
      <c r="P65" s="39">
        <f t="shared" si="12"/>
        <v>0</v>
      </c>
      <c r="Q65" s="39">
        <f t="shared" si="13"/>
        <v>0</v>
      </c>
      <c r="R65" s="39">
        <f t="shared" si="14"/>
        <v>0</v>
      </c>
    </row>
    <row r="66" spans="1:18" ht="19.5" x14ac:dyDescent="0.25">
      <c r="A66" s="22"/>
      <c r="B66" s="23"/>
      <c r="C66" s="21"/>
      <c r="D66" s="17" t="s">
        <v>38</v>
      </c>
      <c r="E66" s="32"/>
      <c r="G66" s="37">
        <f t="shared" si="15"/>
        <v>0</v>
      </c>
      <c r="H66" s="38">
        <f t="shared" si="16"/>
        <v>0</v>
      </c>
      <c r="I66" s="37">
        <f t="shared" si="17"/>
        <v>0</v>
      </c>
      <c r="J66" s="37">
        <f t="shared" si="18"/>
        <v>0</v>
      </c>
      <c r="K66" s="37">
        <f t="shared" si="19"/>
        <v>0</v>
      </c>
      <c r="L66" s="37">
        <f t="shared" si="20"/>
        <v>0</v>
      </c>
      <c r="M66" s="37">
        <f t="shared" si="21"/>
        <v>0</v>
      </c>
      <c r="N66" s="37">
        <f t="shared" si="22"/>
        <v>0</v>
      </c>
      <c r="O66" s="39"/>
      <c r="P66" s="39">
        <f t="shared" si="12"/>
        <v>0</v>
      </c>
      <c r="Q66" s="39">
        <f t="shared" si="13"/>
        <v>0</v>
      </c>
      <c r="R66" s="39">
        <f t="shared" si="14"/>
        <v>0</v>
      </c>
    </row>
    <row r="67" spans="1:18" ht="18.75" x14ac:dyDescent="0.25">
      <c r="A67" s="22"/>
      <c r="B67" s="23"/>
      <c r="C67" s="21"/>
      <c r="D67" s="16" t="s">
        <v>114</v>
      </c>
      <c r="E67" s="33"/>
      <c r="G67" s="37">
        <f t="shared" si="15"/>
        <v>0</v>
      </c>
      <c r="H67" s="38">
        <f t="shared" si="16"/>
        <v>0</v>
      </c>
      <c r="I67" s="37">
        <f t="shared" si="17"/>
        <v>0</v>
      </c>
      <c r="J67" s="37">
        <f t="shared" si="18"/>
        <v>0</v>
      </c>
      <c r="K67" s="37">
        <f t="shared" si="19"/>
        <v>0</v>
      </c>
      <c r="L67" s="37">
        <f t="shared" si="20"/>
        <v>0</v>
      </c>
      <c r="M67" s="37">
        <f t="shared" si="21"/>
        <v>0</v>
      </c>
      <c r="N67" s="37">
        <f t="shared" si="22"/>
        <v>0</v>
      </c>
      <c r="O67" s="39"/>
      <c r="P67" s="39">
        <f t="shared" si="12"/>
        <v>0</v>
      </c>
      <c r="Q67" s="39">
        <f t="shared" si="13"/>
        <v>0</v>
      </c>
      <c r="R67" s="39">
        <f t="shared" si="14"/>
        <v>0</v>
      </c>
    </row>
    <row r="68" spans="1:18" ht="15.75" x14ac:dyDescent="0.25">
      <c r="A68" s="23"/>
      <c r="B68" s="23"/>
      <c r="C68" s="21"/>
      <c r="D68" s="18" t="s">
        <v>39</v>
      </c>
      <c r="E68" s="34"/>
      <c r="G68" s="37">
        <f t="shared" si="15"/>
        <v>0</v>
      </c>
      <c r="H68" s="38">
        <f t="shared" si="16"/>
        <v>0</v>
      </c>
      <c r="I68" s="37">
        <f t="shared" si="17"/>
        <v>0</v>
      </c>
      <c r="J68" s="37">
        <f t="shared" si="18"/>
        <v>0</v>
      </c>
      <c r="K68" s="37">
        <f t="shared" si="19"/>
        <v>0</v>
      </c>
      <c r="L68" s="37">
        <f t="shared" si="20"/>
        <v>0</v>
      </c>
      <c r="M68" s="37">
        <f t="shared" si="21"/>
        <v>0</v>
      </c>
      <c r="N68" s="37">
        <f t="shared" si="22"/>
        <v>0</v>
      </c>
      <c r="O68" s="39"/>
      <c r="P68" s="39">
        <f t="shared" si="12"/>
        <v>0</v>
      </c>
      <c r="Q68" s="39">
        <f t="shared" si="13"/>
        <v>0</v>
      </c>
      <c r="R68" s="39">
        <f t="shared" si="14"/>
        <v>0</v>
      </c>
    </row>
    <row r="69" spans="1:18" ht="15.75" x14ac:dyDescent="0.25">
      <c r="A69" s="23"/>
      <c r="B69" s="23"/>
      <c r="C69" s="21"/>
      <c r="D69" s="18" t="s">
        <v>40</v>
      </c>
      <c r="E69" s="34"/>
      <c r="G69" s="37">
        <f t="shared" si="15"/>
        <v>0</v>
      </c>
      <c r="H69" s="38">
        <f t="shared" si="16"/>
        <v>0</v>
      </c>
      <c r="I69" s="37">
        <f t="shared" si="17"/>
        <v>0</v>
      </c>
      <c r="J69" s="37">
        <f t="shared" si="18"/>
        <v>0</v>
      </c>
      <c r="K69" s="37">
        <f t="shared" si="19"/>
        <v>0</v>
      </c>
      <c r="L69" s="37">
        <f t="shared" si="20"/>
        <v>0</v>
      </c>
      <c r="M69" s="37">
        <f t="shared" si="21"/>
        <v>0</v>
      </c>
      <c r="N69" s="37">
        <f t="shared" si="22"/>
        <v>0</v>
      </c>
      <c r="O69" s="39"/>
      <c r="P69" s="39">
        <f t="shared" si="12"/>
        <v>0</v>
      </c>
      <c r="Q69" s="39">
        <f t="shared" si="13"/>
        <v>0</v>
      </c>
      <c r="R69" s="39">
        <f t="shared" si="14"/>
        <v>0</v>
      </c>
    </row>
    <row r="70" spans="1:18" ht="15.75" x14ac:dyDescent="0.25">
      <c r="A70" s="23"/>
      <c r="B70" s="23"/>
      <c r="C70" s="21"/>
      <c r="D70" s="18" t="s">
        <v>41</v>
      </c>
      <c r="E70" s="34"/>
      <c r="G70" s="37">
        <f t="shared" si="15"/>
        <v>0</v>
      </c>
      <c r="H70" s="38">
        <f t="shared" si="16"/>
        <v>0</v>
      </c>
      <c r="I70" s="37">
        <f t="shared" si="17"/>
        <v>0</v>
      </c>
      <c r="J70" s="37">
        <f t="shared" si="18"/>
        <v>0</v>
      </c>
      <c r="K70" s="37">
        <f t="shared" si="19"/>
        <v>0</v>
      </c>
      <c r="L70" s="37">
        <f t="shared" si="20"/>
        <v>0</v>
      </c>
      <c r="M70" s="37">
        <f t="shared" si="21"/>
        <v>0</v>
      </c>
      <c r="N70" s="37">
        <f t="shared" si="22"/>
        <v>0</v>
      </c>
      <c r="O70" s="39"/>
      <c r="P70" s="39">
        <f t="shared" si="12"/>
        <v>0</v>
      </c>
      <c r="Q70" s="39">
        <f t="shared" si="13"/>
        <v>0</v>
      </c>
      <c r="R70" s="39">
        <f t="shared" si="14"/>
        <v>0</v>
      </c>
    </row>
    <row r="71" spans="1:18" ht="15.75" x14ac:dyDescent="0.25">
      <c r="A71" s="23"/>
      <c r="B71" s="23"/>
      <c r="C71" s="21"/>
      <c r="D71" s="18" t="s">
        <v>42</v>
      </c>
      <c r="E71" s="34"/>
      <c r="G71" s="37">
        <f t="shared" si="15"/>
        <v>0</v>
      </c>
      <c r="H71" s="38">
        <f t="shared" si="16"/>
        <v>0</v>
      </c>
      <c r="I71" s="37">
        <f t="shared" si="17"/>
        <v>0</v>
      </c>
      <c r="J71" s="37">
        <f t="shared" si="18"/>
        <v>0</v>
      </c>
      <c r="K71" s="37">
        <f t="shared" si="19"/>
        <v>0</v>
      </c>
      <c r="L71" s="37">
        <f t="shared" si="20"/>
        <v>0</v>
      </c>
      <c r="M71" s="37">
        <f t="shared" si="21"/>
        <v>0</v>
      </c>
      <c r="N71" s="37">
        <f t="shared" si="22"/>
        <v>0</v>
      </c>
      <c r="O71" s="39"/>
      <c r="P71" s="39">
        <f t="shared" si="12"/>
        <v>0</v>
      </c>
      <c r="Q71" s="39">
        <f t="shared" si="13"/>
        <v>0</v>
      </c>
      <c r="R71" s="39">
        <f t="shared" si="14"/>
        <v>0</v>
      </c>
    </row>
    <row r="72" spans="1:18" ht="18.75" x14ac:dyDescent="0.25">
      <c r="A72" s="23"/>
      <c r="B72" s="23"/>
      <c r="C72" s="21"/>
      <c r="D72" s="16" t="s">
        <v>115</v>
      </c>
      <c r="E72" s="33"/>
      <c r="G72" s="37">
        <f t="shared" si="15"/>
        <v>0</v>
      </c>
      <c r="H72" s="38">
        <f t="shared" si="16"/>
        <v>0</v>
      </c>
      <c r="I72" s="37">
        <f t="shared" si="17"/>
        <v>0</v>
      </c>
      <c r="J72" s="37">
        <f t="shared" si="18"/>
        <v>0</v>
      </c>
      <c r="K72" s="37">
        <f t="shared" si="19"/>
        <v>0</v>
      </c>
      <c r="L72" s="37">
        <f t="shared" si="20"/>
        <v>0</v>
      </c>
      <c r="M72" s="37">
        <f t="shared" si="21"/>
        <v>0</v>
      </c>
      <c r="N72" s="37">
        <f t="shared" si="22"/>
        <v>0</v>
      </c>
      <c r="O72" s="39"/>
      <c r="P72" s="39">
        <f t="shared" si="12"/>
        <v>0</v>
      </c>
      <c r="Q72" s="39">
        <f t="shared" si="13"/>
        <v>0</v>
      </c>
      <c r="R72" s="39">
        <f t="shared" si="14"/>
        <v>0</v>
      </c>
    </row>
    <row r="73" spans="1:18" ht="15.75" x14ac:dyDescent="0.25">
      <c r="A73" s="23"/>
      <c r="B73" s="23"/>
      <c r="C73" s="21"/>
      <c r="D73" s="18" t="s">
        <v>43</v>
      </c>
      <c r="E73" s="34"/>
      <c r="G73" s="37">
        <f t="shared" si="15"/>
        <v>0</v>
      </c>
      <c r="H73" s="38">
        <f t="shared" si="16"/>
        <v>0</v>
      </c>
      <c r="I73" s="37">
        <f t="shared" si="17"/>
        <v>0</v>
      </c>
      <c r="J73" s="37">
        <f t="shared" si="18"/>
        <v>0</v>
      </c>
      <c r="K73" s="37">
        <f t="shared" si="19"/>
        <v>0</v>
      </c>
      <c r="L73" s="37">
        <f t="shared" si="20"/>
        <v>0</v>
      </c>
      <c r="M73" s="37">
        <f t="shared" si="21"/>
        <v>0</v>
      </c>
      <c r="N73" s="37">
        <f t="shared" si="22"/>
        <v>0</v>
      </c>
      <c r="O73" s="39"/>
      <c r="P73" s="39">
        <f t="shared" si="12"/>
        <v>0</v>
      </c>
      <c r="Q73" s="39">
        <f t="shared" si="13"/>
        <v>0</v>
      </c>
      <c r="R73" s="39">
        <f t="shared" si="14"/>
        <v>0</v>
      </c>
    </row>
    <row r="74" spans="1:18" ht="15.75" x14ac:dyDescent="0.25">
      <c r="A74" s="23"/>
      <c r="B74" s="23"/>
      <c r="C74" s="21"/>
      <c r="D74" s="18" t="s">
        <v>44</v>
      </c>
      <c r="E74" s="34"/>
      <c r="G74" s="37">
        <f t="shared" si="15"/>
        <v>0</v>
      </c>
      <c r="H74" s="38">
        <f t="shared" si="16"/>
        <v>0</v>
      </c>
      <c r="I74" s="37">
        <f t="shared" si="17"/>
        <v>0</v>
      </c>
      <c r="J74" s="37">
        <f t="shared" si="18"/>
        <v>0</v>
      </c>
      <c r="K74" s="37">
        <f t="shared" si="19"/>
        <v>0</v>
      </c>
      <c r="L74" s="37">
        <f t="shared" si="20"/>
        <v>0</v>
      </c>
      <c r="M74" s="37">
        <f t="shared" si="21"/>
        <v>0</v>
      </c>
      <c r="N74" s="37">
        <f t="shared" si="22"/>
        <v>0</v>
      </c>
      <c r="O74" s="39"/>
      <c r="P74" s="39">
        <f t="shared" ref="P74:P137" si="23">IF(A74="Describe medications used to prepare a patient for endotracheal intubation","L.O.1",IF(A74="Identify equipment needed for endotracheal intubation", "L.O.2", IF(A74="Relate position of patient head and neck to optimal laryngeal view","L.O.3",IF(A74="Distinguish features of normal and difficult airway anatomy","L.O.4",IF(A74="Employ proper technique for insertion of direct laryngoscopy blade (initial insertion, direction of movement, correction application of force)","L.O.5",IF(A74="Adjust blade appropriately to obtain optimal laryngeal view","L.O.6", IF(A74="Avoid injury to the patient with laryngoscope or endotracheal tube (lips, teeth, oropharyngeal tissues, larynx, trachea)","L.O.7",IF(A74="Ensure proper placement of endotracheal tube","L.O.8", IF(A74="N/A",0,0)))))))))</f>
        <v>0</v>
      </c>
      <c r="Q74" s="39">
        <f t="shared" ref="Q74:Q137" si="24">IF(B74="Describe medications used to prepare a patient for endotracheal intubation","L.O.1",IF(B74="Identify equipment needed for endotracheal intubation", "L.O.2", IF(B74="Relate position of patient head and neck to optimal laryngeal view","L.O.3",IF(B74="Distinguish features of normal and difficult airway anatomy","L.O.4",IF(B74="Employ proper technique for insertion of direct laryngoscopy blade (initial insertion, direction of movement, correction application of force)","L.O.5",IF(B74="Adjust blade appropriately to obtain optimal laryngeal view","L.O.6", IF(B74="Avoid injury to the patient with laryngoscope or endotracheal tube (lips, teeth, oropharyngeal tissues, larynx, trachea)","L.O.7",IF(B74="Ensure proper placement of endotracheal tube","L.O.8", IF(B74="N/A",0,0)))))))))</f>
        <v>0</v>
      </c>
      <c r="R74" s="39">
        <f t="shared" ref="R74:R137" si="25">IF(C74="Describe medications used to prepare a patient for endotracheal intubation","L.O.1",IF(C74="Identify equipment needed for endotracheal intubation", "L.O.2", IF(C74="Relate position of patient head and neck to optimal laryngeal view","L.O.3",IF(C74="Distinguish features of normal and difficult airway anatomy","L.O.4",IF(C74="Employ proper technique for insertion of direct laryngoscopy blade (initial insertion, direction of movement, correction application of force)","L.O.5",IF(C74="Adjust blade appropriately to obtain optimal laryngeal view","L.O.6", IF(C74="Avoid injury to the patient with laryngoscope or endotracheal tube (lips, teeth, oropharyngeal tissues, larynx, trachea)","L.O.7",IF(C74="Ensure proper placement of endotracheal tube","L.O.8", IF(C74="N/A",0,0)))))))))</f>
        <v>0</v>
      </c>
    </row>
    <row r="75" spans="1:18" ht="15.75" x14ac:dyDescent="0.25">
      <c r="A75" s="23"/>
      <c r="B75" s="23"/>
      <c r="C75" s="21"/>
      <c r="D75" s="18" t="s">
        <v>45</v>
      </c>
      <c r="E75" s="34"/>
      <c r="G75" s="37">
        <f t="shared" si="15"/>
        <v>0</v>
      </c>
      <c r="H75" s="38">
        <f t="shared" si="16"/>
        <v>0</v>
      </c>
      <c r="I75" s="37">
        <f t="shared" si="17"/>
        <v>0</v>
      </c>
      <c r="J75" s="37">
        <f t="shared" si="18"/>
        <v>0</v>
      </c>
      <c r="K75" s="37">
        <f t="shared" si="19"/>
        <v>0</v>
      </c>
      <c r="L75" s="37">
        <f t="shared" si="20"/>
        <v>0</v>
      </c>
      <c r="M75" s="37">
        <f t="shared" si="21"/>
        <v>0</v>
      </c>
      <c r="N75" s="37">
        <f t="shared" si="22"/>
        <v>0</v>
      </c>
      <c r="O75" s="39"/>
      <c r="P75" s="39">
        <f t="shared" si="23"/>
        <v>0</v>
      </c>
      <c r="Q75" s="39">
        <f t="shared" si="24"/>
        <v>0</v>
      </c>
      <c r="R75" s="39">
        <f t="shared" si="25"/>
        <v>0</v>
      </c>
    </row>
    <row r="76" spans="1:18" ht="15.75" x14ac:dyDescent="0.25">
      <c r="A76" s="23"/>
      <c r="B76" s="23"/>
      <c r="C76" s="21"/>
      <c r="D76" s="18" t="s">
        <v>46</v>
      </c>
      <c r="E76" s="34"/>
      <c r="G76" s="37">
        <f t="shared" si="15"/>
        <v>0</v>
      </c>
      <c r="H76" s="38">
        <f t="shared" si="16"/>
        <v>0</v>
      </c>
      <c r="I76" s="37">
        <f t="shared" si="17"/>
        <v>0</v>
      </c>
      <c r="J76" s="37">
        <f t="shared" si="18"/>
        <v>0</v>
      </c>
      <c r="K76" s="37">
        <f t="shared" si="19"/>
        <v>0</v>
      </c>
      <c r="L76" s="37">
        <f t="shared" si="20"/>
        <v>0</v>
      </c>
      <c r="M76" s="37">
        <f t="shared" si="21"/>
        <v>0</v>
      </c>
      <c r="N76" s="37">
        <f t="shared" si="22"/>
        <v>0</v>
      </c>
      <c r="O76" s="39"/>
      <c r="P76" s="39">
        <f t="shared" si="23"/>
        <v>0</v>
      </c>
      <c r="Q76" s="39">
        <f t="shared" si="24"/>
        <v>0</v>
      </c>
      <c r="R76" s="39">
        <f t="shared" si="25"/>
        <v>0</v>
      </c>
    </row>
    <row r="77" spans="1:18" ht="15.75" x14ac:dyDescent="0.25">
      <c r="A77" s="23"/>
      <c r="B77" s="23"/>
      <c r="C77" s="21"/>
      <c r="D77" s="18" t="s">
        <v>47</v>
      </c>
      <c r="E77" s="34"/>
      <c r="G77" s="37">
        <f t="shared" ref="G77:G138" si="26">IF(A77="Describe medications used to prepare a patient for endotracheal intubation","A",IF(B77="Describe medications used to prepare a patient for endotracheal intubation", "B", IF(C77="Describe medications used to prepare a patient for endotracheal intubation","C",0)))</f>
        <v>0</v>
      </c>
      <c r="H77" s="38">
        <f t="shared" ref="H77:H138" si="27">IF(A77="Identify equipment needed for endotracheal intubation","A",IF(B77="Identify equipment needed for endotracheal intubation", "B", IF(C77="Identify equipment needed for endotracheal intubation","C",0)))</f>
        <v>0</v>
      </c>
      <c r="I77" s="37">
        <f t="shared" ref="I77:I138" si="28">IF(A77="Relate position of patient head and neck to optimal laryngeal view","A",IF(B77="Relate position of patient head and neck to optimal laryngeal view", "B", IF(C77="Relate position of patient head and neck to optimal laryngeal view","C",0)))</f>
        <v>0</v>
      </c>
      <c r="J77" s="37">
        <f t="shared" ref="J77:J138" si="29">IF(A77="Distinguish features of normal and difficult airway anatomy","A",IF(B77="Distinguish features of normal and difficult airway anatomy", "B", IF(C77="Distinguish features of normal and difficult airway anatomy","C",0)))</f>
        <v>0</v>
      </c>
      <c r="K77" s="37">
        <f t="shared" ref="K77:K138" si="30">IF(A77="Employ proper technique for insertion of direct laryngoscopy blade (initial insertion, direction of movement, correction application of force)","A",IF(B77="Employ proper technique for insertion of direct laryngoscopy blade (initial insertion, direction of movement, correction application of force)", "B", IF(C77="Employ proper technique for insertion of direct laryngoscopy blade (initial insertion, direction of movement, correction application of force)","C",0)))</f>
        <v>0</v>
      </c>
      <c r="L77" s="37">
        <f t="shared" ref="L77:L138" si="31">IF(A77="Adjust blade appropriately to obtain optimal laryngeal view","A",IF(B77="Adjust blade appropriately to obtain optimal laryngeal view", "B", IF(C77="Adjust blade appropriately to obtain optimal laryngeal view","C",0)))</f>
        <v>0</v>
      </c>
      <c r="M77" s="37">
        <f t="shared" ref="M77:M138" si="32">IF(A77="Avoid injury to the patient with laryngoscope or endotracheal tube (lips, teeth, oropharyngeal tissues, larynx, trachea)","A",IF(B77="Avoid injury to the patient with laryngoscope or endotracheal tube (lips, teeth, oropharyngeal tissues, larynx, trachea)", "B", IF(C77="Avoid injury to the patient with laryngoscope or endotracheal tube (lips, teeth, oropharyngeal tissues, larynx, trachea)","C",0)))</f>
        <v>0</v>
      </c>
      <c r="N77" s="37">
        <f t="shared" ref="N77:N138" si="33">IF(A77="Ensure proper placement of endotracheal tube","A",IF(B77="Ensure proper placement of endotracheal tube", "B", IF(C77="Ensure proper placement of endotracheal tube","C",0)))</f>
        <v>0</v>
      </c>
      <c r="O77" s="39"/>
      <c r="P77" s="39">
        <f t="shared" si="23"/>
        <v>0</v>
      </c>
      <c r="Q77" s="39">
        <f t="shared" si="24"/>
        <v>0</v>
      </c>
      <c r="R77" s="39">
        <f t="shared" si="25"/>
        <v>0</v>
      </c>
    </row>
    <row r="78" spans="1:18" ht="18.75" x14ac:dyDescent="0.25">
      <c r="A78" s="23"/>
      <c r="B78" s="23"/>
      <c r="C78" s="21"/>
      <c r="D78" s="25" t="s">
        <v>153</v>
      </c>
      <c r="E78" s="36"/>
      <c r="G78" s="37">
        <f t="shared" si="26"/>
        <v>0</v>
      </c>
      <c r="H78" s="38">
        <f t="shared" si="27"/>
        <v>0</v>
      </c>
      <c r="I78" s="37">
        <f t="shared" si="28"/>
        <v>0</v>
      </c>
      <c r="J78" s="37">
        <f t="shared" si="29"/>
        <v>0</v>
      </c>
      <c r="K78" s="37">
        <f t="shared" si="30"/>
        <v>0</v>
      </c>
      <c r="L78" s="37">
        <f t="shared" si="31"/>
        <v>0</v>
      </c>
      <c r="M78" s="37">
        <f t="shared" si="32"/>
        <v>0</v>
      </c>
      <c r="N78" s="37">
        <f t="shared" si="33"/>
        <v>0</v>
      </c>
      <c r="O78" s="39"/>
      <c r="P78" s="39">
        <f t="shared" si="23"/>
        <v>0</v>
      </c>
      <c r="Q78" s="39">
        <f t="shared" si="24"/>
        <v>0</v>
      </c>
      <c r="R78" s="39">
        <f t="shared" si="25"/>
        <v>0</v>
      </c>
    </row>
    <row r="79" spans="1:18" ht="19.5" x14ac:dyDescent="0.25">
      <c r="A79" s="23"/>
      <c r="B79" s="23"/>
      <c r="C79" s="21"/>
      <c r="D79" s="17" t="s">
        <v>48</v>
      </c>
      <c r="E79" s="32"/>
      <c r="G79" s="37">
        <f t="shared" si="26"/>
        <v>0</v>
      </c>
      <c r="H79" s="38">
        <f t="shared" si="27"/>
        <v>0</v>
      </c>
      <c r="I79" s="37">
        <f t="shared" si="28"/>
        <v>0</v>
      </c>
      <c r="J79" s="37">
        <f t="shared" si="29"/>
        <v>0</v>
      </c>
      <c r="K79" s="37">
        <f t="shared" si="30"/>
        <v>0</v>
      </c>
      <c r="L79" s="37">
        <f t="shared" si="31"/>
        <v>0</v>
      </c>
      <c r="M79" s="37">
        <f t="shared" si="32"/>
        <v>0</v>
      </c>
      <c r="N79" s="37">
        <f t="shared" si="33"/>
        <v>0</v>
      </c>
      <c r="O79" s="39"/>
      <c r="P79" s="39">
        <f t="shared" si="23"/>
        <v>0</v>
      </c>
      <c r="Q79" s="39">
        <f t="shared" si="24"/>
        <v>0</v>
      </c>
      <c r="R79" s="39">
        <f t="shared" si="25"/>
        <v>0</v>
      </c>
    </row>
    <row r="80" spans="1:18" ht="18.75" x14ac:dyDescent="0.25">
      <c r="A80" s="23"/>
      <c r="B80" s="23"/>
      <c r="C80" s="21"/>
      <c r="D80" s="16" t="s">
        <v>116</v>
      </c>
      <c r="E80" s="33"/>
      <c r="G80" s="37">
        <f t="shared" si="26"/>
        <v>0</v>
      </c>
      <c r="H80" s="38">
        <f t="shared" si="27"/>
        <v>0</v>
      </c>
      <c r="I80" s="37">
        <f t="shared" si="28"/>
        <v>0</v>
      </c>
      <c r="J80" s="37">
        <f t="shared" si="29"/>
        <v>0</v>
      </c>
      <c r="K80" s="37">
        <f t="shared" si="30"/>
        <v>0</v>
      </c>
      <c r="L80" s="37">
        <f t="shared" si="31"/>
        <v>0</v>
      </c>
      <c r="M80" s="37">
        <f t="shared" si="32"/>
        <v>0</v>
      </c>
      <c r="N80" s="37">
        <f t="shared" si="33"/>
        <v>0</v>
      </c>
      <c r="O80" s="39"/>
      <c r="P80" s="39">
        <f t="shared" si="23"/>
        <v>0</v>
      </c>
      <c r="Q80" s="39">
        <f t="shared" si="24"/>
        <v>0</v>
      </c>
      <c r="R80" s="39">
        <f t="shared" si="25"/>
        <v>0</v>
      </c>
    </row>
    <row r="81" spans="1:18" ht="18.75" x14ac:dyDescent="0.25">
      <c r="A81" s="23"/>
      <c r="B81" s="23"/>
      <c r="C81" s="21"/>
      <c r="D81" s="16" t="s">
        <v>117</v>
      </c>
      <c r="E81" s="33"/>
      <c r="G81" s="37">
        <f t="shared" si="26"/>
        <v>0</v>
      </c>
      <c r="H81" s="38">
        <f t="shared" si="27"/>
        <v>0</v>
      </c>
      <c r="I81" s="37">
        <f t="shared" si="28"/>
        <v>0</v>
      </c>
      <c r="J81" s="37">
        <f t="shared" si="29"/>
        <v>0</v>
      </c>
      <c r="K81" s="37">
        <f t="shared" si="30"/>
        <v>0</v>
      </c>
      <c r="L81" s="37">
        <f t="shared" si="31"/>
        <v>0</v>
      </c>
      <c r="M81" s="37">
        <f t="shared" si="32"/>
        <v>0</v>
      </c>
      <c r="N81" s="37">
        <f t="shared" si="33"/>
        <v>0</v>
      </c>
      <c r="O81" s="39"/>
      <c r="P81" s="39">
        <f t="shared" si="23"/>
        <v>0</v>
      </c>
      <c r="Q81" s="39">
        <f t="shared" si="24"/>
        <v>0</v>
      </c>
      <c r="R81" s="39">
        <f t="shared" si="25"/>
        <v>0</v>
      </c>
    </row>
    <row r="82" spans="1:18" ht="15.75" x14ac:dyDescent="0.25">
      <c r="A82" s="23"/>
      <c r="B82" s="23"/>
      <c r="C82" s="21"/>
      <c r="D82" s="18" t="s">
        <v>49</v>
      </c>
      <c r="E82" s="34"/>
      <c r="G82" s="37">
        <f t="shared" si="26"/>
        <v>0</v>
      </c>
      <c r="H82" s="38">
        <f t="shared" si="27"/>
        <v>0</v>
      </c>
      <c r="I82" s="37">
        <f t="shared" si="28"/>
        <v>0</v>
      </c>
      <c r="J82" s="37">
        <f t="shared" si="29"/>
        <v>0</v>
      </c>
      <c r="K82" s="37">
        <f t="shared" si="30"/>
        <v>0</v>
      </c>
      <c r="L82" s="37">
        <f t="shared" si="31"/>
        <v>0</v>
      </c>
      <c r="M82" s="37">
        <f t="shared" si="32"/>
        <v>0</v>
      </c>
      <c r="N82" s="37">
        <f t="shared" si="33"/>
        <v>0</v>
      </c>
      <c r="O82" s="39"/>
      <c r="P82" s="39">
        <f t="shared" si="23"/>
        <v>0</v>
      </c>
      <c r="Q82" s="39">
        <f t="shared" si="24"/>
        <v>0</v>
      </c>
      <c r="R82" s="39">
        <f t="shared" si="25"/>
        <v>0</v>
      </c>
    </row>
    <row r="83" spans="1:18" ht="15.75" x14ac:dyDescent="0.25">
      <c r="A83" s="23"/>
      <c r="B83" s="23"/>
      <c r="C83" s="21"/>
      <c r="D83" s="18" t="s">
        <v>50</v>
      </c>
      <c r="E83" s="34"/>
      <c r="G83" s="37">
        <f t="shared" si="26"/>
        <v>0</v>
      </c>
      <c r="H83" s="38">
        <f t="shared" si="27"/>
        <v>0</v>
      </c>
      <c r="I83" s="37">
        <f t="shared" si="28"/>
        <v>0</v>
      </c>
      <c r="J83" s="37">
        <f t="shared" si="29"/>
        <v>0</v>
      </c>
      <c r="K83" s="37">
        <f t="shared" si="30"/>
        <v>0</v>
      </c>
      <c r="L83" s="37">
        <f t="shared" si="31"/>
        <v>0</v>
      </c>
      <c r="M83" s="37">
        <f t="shared" si="32"/>
        <v>0</v>
      </c>
      <c r="N83" s="37">
        <f t="shared" si="33"/>
        <v>0</v>
      </c>
      <c r="O83" s="39"/>
      <c r="P83" s="39">
        <f t="shared" si="23"/>
        <v>0</v>
      </c>
      <c r="Q83" s="39">
        <f t="shared" si="24"/>
        <v>0</v>
      </c>
      <c r="R83" s="39">
        <f t="shared" si="25"/>
        <v>0</v>
      </c>
    </row>
    <row r="84" spans="1:18" ht="15.75" x14ac:dyDescent="0.25">
      <c r="A84" s="23"/>
      <c r="B84" s="23"/>
      <c r="C84" s="21"/>
      <c r="D84" s="18" t="s">
        <v>51</v>
      </c>
      <c r="E84" s="34"/>
      <c r="G84" s="37">
        <f t="shared" si="26"/>
        <v>0</v>
      </c>
      <c r="H84" s="38">
        <f t="shared" si="27"/>
        <v>0</v>
      </c>
      <c r="I84" s="37">
        <f t="shared" si="28"/>
        <v>0</v>
      </c>
      <c r="J84" s="37">
        <f t="shared" si="29"/>
        <v>0</v>
      </c>
      <c r="K84" s="37">
        <f t="shared" si="30"/>
        <v>0</v>
      </c>
      <c r="L84" s="37">
        <f t="shared" si="31"/>
        <v>0</v>
      </c>
      <c r="M84" s="37">
        <f t="shared" si="32"/>
        <v>0</v>
      </c>
      <c r="N84" s="37">
        <f t="shared" si="33"/>
        <v>0</v>
      </c>
      <c r="O84" s="39"/>
      <c r="P84" s="39">
        <f t="shared" si="23"/>
        <v>0</v>
      </c>
      <c r="Q84" s="39">
        <f t="shared" si="24"/>
        <v>0</v>
      </c>
      <c r="R84" s="39">
        <f t="shared" si="25"/>
        <v>0</v>
      </c>
    </row>
    <row r="85" spans="1:18" ht="18.75" x14ac:dyDescent="0.25">
      <c r="A85" s="23"/>
      <c r="B85" s="23"/>
      <c r="C85" s="21"/>
      <c r="D85" s="16" t="s">
        <v>118</v>
      </c>
      <c r="E85" s="33"/>
      <c r="G85" s="37">
        <f t="shared" si="26"/>
        <v>0</v>
      </c>
      <c r="H85" s="38">
        <f t="shared" si="27"/>
        <v>0</v>
      </c>
      <c r="I85" s="37">
        <f t="shared" si="28"/>
        <v>0</v>
      </c>
      <c r="J85" s="37">
        <f t="shared" si="29"/>
        <v>0</v>
      </c>
      <c r="K85" s="37">
        <f t="shared" si="30"/>
        <v>0</v>
      </c>
      <c r="L85" s="37">
        <f t="shared" si="31"/>
        <v>0</v>
      </c>
      <c r="M85" s="37">
        <f t="shared" si="32"/>
        <v>0</v>
      </c>
      <c r="N85" s="37">
        <f t="shared" si="33"/>
        <v>0</v>
      </c>
      <c r="O85" s="39"/>
      <c r="P85" s="39">
        <f t="shared" si="23"/>
        <v>0</v>
      </c>
      <c r="Q85" s="39">
        <f t="shared" si="24"/>
        <v>0</v>
      </c>
      <c r="R85" s="39">
        <f t="shared" si="25"/>
        <v>0</v>
      </c>
    </row>
    <row r="86" spans="1:18" ht="15.75" x14ac:dyDescent="0.25">
      <c r="A86" s="23"/>
      <c r="B86" s="23"/>
      <c r="C86" s="21"/>
      <c r="D86" s="18" t="s">
        <v>52</v>
      </c>
      <c r="E86" s="34"/>
      <c r="G86" s="37">
        <f t="shared" si="26"/>
        <v>0</v>
      </c>
      <c r="H86" s="38">
        <f t="shared" si="27"/>
        <v>0</v>
      </c>
      <c r="I86" s="37">
        <f t="shared" si="28"/>
        <v>0</v>
      </c>
      <c r="J86" s="37">
        <f t="shared" si="29"/>
        <v>0</v>
      </c>
      <c r="K86" s="37">
        <f t="shared" si="30"/>
        <v>0</v>
      </c>
      <c r="L86" s="37">
        <f t="shared" si="31"/>
        <v>0</v>
      </c>
      <c r="M86" s="37">
        <f t="shared" si="32"/>
        <v>0</v>
      </c>
      <c r="N86" s="37">
        <f t="shared" si="33"/>
        <v>0</v>
      </c>
      <c r="O86" s="39"/>
      <c r="P86" s="39">
        <f t="shared" si="23"/>
        <v>0</v>
      </c>
      <c r="Q86" s="39">
        <f t="shared" si="24"/>
        <v>0</v>
      </c>
      <c r="R86" s="39">
        <f t="shared" si="25"/>
        <v>0</v>
      </c>
    </row>
    <row r="87" spans="1:18" ht="15.75" x14ac:dyDescent="0.25">
      <c r="A87" s="23"/>
      <c r="B87" s="23"/>
      <c r="C87" s="21"/>
      <c r="D87" s="18" t="s">
        <v>53</v>
      </c>
      <c r="E87" s="34"/>
      <c r="G87" s="37">
        <f t="shared" si="26"/>
        <v>0</v>
      </c>
      <c r="H87" s="38">
        <f t="shared" si="27"/>
        <v>0</v>
      </c>
      <c r="I87" s="37">
        <f t="shared" si="28"/>
        <v>0</v>
      </c>
      <c r="J87" s="37">
        <f t="shared" si="29"/>
        <v>0</v>
      </c>
      <c r="K87" s="37">
        <f t="shared" si="30"/>
        <v>0</v>
      </c>
      <c r="L87" s="37">
        <f t="shared" si="31"/>
        <v>0</v>
      </c>
      <c r="M87" s="37">
        <f t="shared" si="32"/>
        <v>0</v>
      </c>
      <c r="N87" s="37">
        <f t="shared" si="33"/>
        <v>0</v>
      </c>
      <c r="O87" s="39"/>
      <c r="P87" s="39">
        <f t="shared" si="23"/>
        <v>0</v>
      </c>
      <c r="Q87" s="39">
        <f t="shared" si="24"/>
        <v>0</v>
      </c>
      <c r="R87" s="39">
        <f t="shared" si="25"/>
        <v>0</v>
      </c>
    </row>
    <row r="88" spans="1:18" ht="19.5" x14ac:dyDescent="0.25">
      <c r="A88" s="23"/>
      <c r="B88" s="23"/>
      <c r="C88" s="21"/>
      <c r="D88" s="17" t="s">
        <v>54</v>
      </c>
      <c r="E88" s="32"/>
      <c r="G88" s="37">
        <f t="shared" si="26"/>
        <v>0</v>
      </c>
      <c r="H88" s="38">
        <f t="shared" si="27"/>
        <v>0</v>
      </c>
      <c r="I88" s="37">
        <f t="shared" si="28"/>
        <v>0</v>
      </c>
      <c r="J88" s="37">
        <f t="shared" si="29"/>
        <v>0</v>
      </c>
      <c r="K88" s="37">
        <f t="shared" si="30"/>
        <v>0</v>
      </c>
      <c r="L88" s="37">
        <f t="shared" si="31"/>
        <v>0</v>
      </c>
      <c r="M88" s="37">
        <f t="shared" si="32"/>
        <v>0</v>
      </c>
      <c r="N88" s="37">
        <f t="shared" si="33"/>
        <v>0</v>
      </c>
      <c r="O88" s="39"/>
      <c r="P88" s="39">
        <f t="shared" si="23"/>
        <v>0</v>
      </c>
      <c r="Q88" s="39">
        <f t="shared" si="24"/>
        <v>0</v>
      </c>
      <c r="R88" s="39">
        <f t="shared" si="25"/>
        <v>0</v>
      </c>
    </row>
    <row r="89" spans="1:18" ht="18.75" x14ac:dyDescent="0.25">
      <c r="A89" s="23"/>
      <c r="B89" s="23"/>
      <c r="C89" s="21"/>
      <c r="D89" s="16" t="s">
        <v>119</v>
      </c>
      <c r="E89" s="33"/>
      <c r="G89" s="37">
        <f t="shared" si="26"/>
        <v>0</v>
      </c>
      <c r="H89" s="38">
        <f t="shared" si="27"/>
        <v>0</v>
      </c>
      <c r="I89" s="37">
        <f t="shared" si="28"/>
        <v>0</v>
      </c>
      <c r="J89" s="37">
        <f t="shared" si="29"/>
        <v>0</v>
      </c>
      <c r="K89" s="37">
        <f t="shared" si="30"/>
        <v>0</v>
      </c>
      <c r="L89" s="37">
        <f t="shared" si="31"/>
        <v>0</v>
      </c>
      <c r="M89" s="37">
        <f t="shared" si="32"/>
        <v>0</v>
      </c>
      <c r="N89" s="37">
        <f t="shared" si="33"/>
        <v>0</v>
      </c>
      <c r="O89" s="39"/>
      <c r="P89" s="39">
        <f t="shared" si="23"/>
        <v>0</v>
      </c>
      <c r="Q89" s="39">
        <f t="shared" si="24"/>
        <v>0</v>
      </c>
      <c r="R89" s="39">
        <f t="shared" si="25"/>
        <v>0</v>
      </c>
    </row>
    <row r="90" spans="1:18" ht="15.75" x14ac:dyDescent="0.25">
      <c r="A90" s="23"/>
      <c r="B90" s="23"/>
      <c r="C90" s="21"/>
      <c r="D90" s="18" t="s">
        <v>55</v>
      </c>
      <c r="E90" s="34"/>
      <c r="G90" s="37">
        <f t="shared" si="26"/>
        <v>0</v>
      </c>
      <c r="H90" s="38">
        <f t="shared" si="27"/>
        <v>0</v>
      </c>
      <c r="I90" s="37">
        <f t="shared" si="28"/>
        <v>0</v>
      </c>
      <c r="J90" s="37">
        <f t="shared" si="29"/>
        <v>0</v>
      </c>
      <c r="K90" s="37">
        <f t="shared" si="30"/>
        <v>0</v>
      </c>
      <c r="L90" s="37">
        <f t="shared" si="31"/>
        <v>0</v>
      </c>
      <c r="M90" s="37">
        <f t="shared" si="32"/>
        <v>0</v>
      </c>
      <c r="N90" s="37">
        <f t="shared" si="33"/>
        <v>0</v>
      </c>
      <c r="O90" s="39"/>
      <c r="P90" s="39">
        <f t="shared" si="23"/>
        <v>0</v>
      </c>
      <c r="Q90" s="39">
        <f t="shared" si="24"/>
        <v>0</v>
      </c>
      <c r="R90" s="39">
        <f t="shared" si="25"/>
        <v>0</v>
      </c>
    </row>
    <row r="91" spans="1:18" ht="15.75" x14ac:dyDescent="0.25">
      <c r="A91" s="23"/>
      <c r="B91" s="23"/>
      <c r="C91" s="21"/>
      <c r="D91" s="18" t="s">
        <v>56</v>
      </c>
      <c r="E91" s="34"/>
      <c r="G91" s="37">
        <f t="shared" si="26"/>
        <v>0</v>
      </c>
      <c r="H91" s="38">
        <f t="shared" si="27"/>
        <v>0</v>
      </c>
      <c r="I91" s="37">
        <f t="shared" si="28"/>
        <v>0</v>
      </c>
      <c r="J91" s="37">
        <f t="shared" si="29"/>
        <v>0</v>
      </c>
      <c r="K91" s="37">
        <f t="shared" si="30"/>
        <v>0</v>
      </c>
      <c r="L91" s="37">
        <f t="shared" si="31"/>
        <v>0</v>
      </c>
      <c r="M91" s="37">
        <f t="shared" si="32"/>
        <v>0</v>
      </c>
      <c r="N91" s="37">
        <f t="shared" si="33"/>
        <v>0</v>
      </c>
      <c r="O91" s="39"/>
      <c r="P91" s="39">
        <f t="shared" si="23"/>
        <v>0</v>
      </c>
      <c r="Q91" s="39">
        <f t="shared" si="24"/>
        <v>0</v>
      </c>
      <c r="R91" s="39">
        <f t="shared" si="25"/>
        <v>0</v>
      </c>
    </row>
    <row r="92" spans="1:18" ht="15.75" x14ac:dyDescent="0.25">
      <c r="A92" s="23"/>
      <c r="B92" s="23"/>
      <c r="C92" s="21"/>
      <c r="D92" s="18" t="s">
        <v>57</v>
      </c>
      <c r="E92" s="34"/>
      <c r="G92" s="37">
        <f t="shared" si="26"/>
        <v>0</v>
      </c>
      <c r="H92" s="38">
        <f t="shared" si="27"/>
        <v>0</v>
      </c>
      <c r="I92" s="37">
        <f t="shared" si="28"/>
        <v>0</v>
      </c>
      <c r="J92" s="37">
        <f t="shared" si="29"/>
        <v>0</v>
      </c>
      <c r="K92" s="37">
        <f t="shared" si="30"/>
        <v>0</v>
      </c>
      <c r="L92" s="37">
        <f t="shared" si="31"/>
        <v>0</v>
      </c>
      <c r="M92" s="37">
        <f t="shared" si="32"/>
        <v>0</v>
      </c>
      <c r="N92" s="37">
        <f t="shared" si="33"/>
        <v>0</v>
      </c>
      <c r="O92" s="39"/>
      <c r="P92" s="39">
        <f t="shared" si="23"/>
        <v>0</v>
      </c>
      <c r="Q92" s="39">
        <f t="shared" si="24"/>
        <v>0</v>
      </c>
      <c r="R92" s="39">
        <f t="shared" si="25"/>
        <v>0</v>
      </c>
    </row>
    <row r="93" spans="1:18" ht="18.75" x14ac:dyDescent="0.25">
      <c r="A93" s="23"/>
      <c r="B93" s="23"/>
      <c r="C93" s="21"/>
      <c r="D93" s="16" t="s">
        <v>120</v>
      </c>
      <c r="E93" s="33"/>
      <c r="G93" s="37">
        <f t="shared" si="26"/>
        <v>0</v>
      </c>
      <c r="H93" s="38">
        <f t="shared" si="27"/>
        <v>0</v>
      </c>
      <c r="I93" s="37">
        <f t="shared" si="28"/>
        <v>0</v>
      </c>
      <c r="J93" s="37">
        <f t="shared" si="29"/>
        <v>0</v>
      </c>
      <c r="K93" s="37">
        <f t="shared" si="30"/>
        <v>0</v>
      </c>
      <c r="L93" s="37">
        <f t="shared" si="31"/>
        <v>0</v>
      </c>
      <c r="M93" s="37">
        <f t="shared" si="32"/>
        <v>0</v>
      </c>
      <c r="N93" s="37">
        <f t="shared" si="33"/>
        <v>0</v>
      </c>
      <c r="O93" s="39"/>
      <c r="P93" s="39">
        <f t="shared" si="23"/>
        <v>0</v>
      </c>
      <c r="Q93" s="39">
        <f t="shared" si="24"/>
        <v>0</v>
      </c>
      <c r="R93" s="39">
        <f t="shared" si="25"/>
        <v>0</v>
      </c>
    </row>
    <row r="94" spans="1:18" ht="15.75" x14ac:dyDescent="0.25">
      <c r="A94" s="23"/>
      <c r="B94" s="23"/>
      <c r="C94" s="21"/>
      <c r="D94" s="18" t="s">
        <v>58</v>
      </c>
      <c r="E94" s="34"/>
      <c r="G94" s="37">
        <f t="shared" si="26"/>
        <v>0</v>
      </c>
      <c r="H94" s="38">
        <f t="shared" si="27"/>
        <v>0</v>
      </c>
      <c r="I94" s="37">
        <f t="shared" si="28"/>
        <v>0</v>
      </c>
      <c r="J94" s="37">
        <f t="shared" si="29"/>
        <v>0</v>
      </c>
      <c r="K94" s="37">
        <f t="shared" si="30"/>
        <v>0</v>
      </c>
      <c r="L94" s="37">
        <f t="shared" si="31"/>
        <v>0</v>
      </c>
      <c r="M94" s="37">
        <f t="shared" si="32"/>
        <v>0</v>
      </c>
      <c r="N94" s="37">
        <f t="shared" si="33"/>
        <v>0</v>
      </c>
      <c r="O94" s="39"/>
      <c r="P94" s="39">
        <f t="shared" si="23"/>
        <v>0</v>
      </c>
      <c r="Q94" s="39">
        <f t="shared" si="24"/>
        <v>0</v>
      </c>
      <c r="R94" s="39">
        <f t="shared" si="25"/>
        <v>0</v>
      </c>
    </row>
    <row r="95" spans="1:18" ht="18.75" x14ac:dyDescent="0.25">
      <c r="A95" s="23"/>
      <c r="B95" s="23"/>
      <c r="C95" s="21"/>
      <c r="D95" s="16" t="s">
        <v>121</v>
      </c>
      <c r="E95" s="33"/>
      <c r="G95" s="37">
        <f t="shared" si="26"/>
        <v>0</v>
      </c>
      <c r="H95" s="38">
        <f t="shared" si="27"/>
        <v>0</v>
      </c>
      <c r="I95" s="37">
        <f t="shared" si="28"/>
        <v>0</v>
      </c>
      <c r="J95" s="37">
        <f t="shared" si="29"/>
        <v>0</v>
      </c>
      <c r="K95" s="37">
        <f t="shared" si="30"/>
        <v>0</v>
      </c>
      <c r="L95" s="37">
        <f t="shared" si="31"/>
        <v>0</v>
      </c>
      <c r="M95" s="37">
        <f t="shared" si="32"/>
        <v>0</v>
      </c>
      <c r="N95" s="37">
        <f t="shared" si="33"/>
        <v>0</v>
      </c>
      <c r="O95" s="39"/>
      <c r="P95" s="39">
        <f t="shared" si="23"/>
        <v>0</v>
      </c>
      <c r="Q95" s="39">
        <f t="shared" si="24"/>
        <v>0</v>
      </c>
      <c r="R95" s="39">
        <f t="shared" si="25"/>
        <v>0</v>
      </c>
    </row>
    <row r="96" spans="1:18" ht="15.75" x14ac:dyDescent="0.25">
      <c r="A96" s="23"/>
      <c r="B96" s="23"/>
      <c r="C96" s="21"/>
      <c r="D96" s="18" t="s">
        <v>59</v>
      </c>
      <c r="E96" s="34"/>
      <c r="G96" s="37">
        <f t="shared" si="26"/>
        <v>0</v>
      </c>
      <c r="H96" s="38">
        <f t="shared" si="27"/>
        <v>0</v>
      </c>
      <c r="I96" s="37">
        <f t="shared" si="28"/>
        <v>0</v>
      </c>
      <c r="J96" s="37">
        <f t="shared" si="29"/>
        <v>0</v>
      </c>
      <c r="K96" s="37">
        <f t="shared" si="30"/>
        <v>0</v>
      </c>
      <c r="L96" s="37">
        <f t="shared" si="31"/>
        <v>0</v>
      </c>
      <c r="M96" s="37">
        <f t="shared" si="32"/>
        <v>0</v>
      </c>
      <c r="N96" s="37">
        <f t="shared" si="33"/>
        <v>0</v>
      </c>
      <c r="O96" s="39"/>
      <c r="P96" s="39">
        <f t="shared" si="23"/>
        <v>0</v>
      </c>
      <c r="Q96" s="39">
        <f t="shared" si="24"/>
        <v>0</v>
      </c>
      <c r="R96" s="39">
        <f t="shared" si="25"/>
        <v>0</v>
      </c>
    </row>
    <row r="97" spans="1:18" ht="15.75" x14ac:dyDescent="0.25">
      <c r="A97" s="23"/>
      <c r="B97" s="23"/>
      <c r="C97" s="21"/>
      <c r="D97" s="18" t="s">
        <v>60</v>
      </c>
      <c r="E97" s="34"/>
      <c r="G97" s="37">
        <f t="shared" si="26"/>
        <v>0</v>
      </c>
      <c r="H97" s="38">
        <f t="shared" si="27"/>
        <v>0</v>
      </c>
      <c r="I97" s="37">
        <f t="shared" si="28"/>
        <v>0</v>
      </c>
      <c r="J97" s="37">
        <f t="shared" si="29"/>
        <v>0</v>
      </c>
      <c r="K97" s="37">
        <f t="shared" si="30"/>
        <v>0</v>
      </c>
      <c r="L97" s="37">
        <f t="shared" si="31"/>
        <v>0</v>
      </c>
      <c r="M97" s="37">
        <f t="shared" si="32"/>
        <v>0</v>
      </c>
      <c r="N97" s="37">
        <f t="shared" si="33"/>
        <v>0</v>
      </c>
      <c r="O97" s="39"/>
      <c r="P97" s="39">
        <f t="shared" si="23"/>
        <v>0</v>
      </c>
      <c r="Q97" s="39">
        <f t="shared" si="24"/>
        <v>0</v>
      </c>
      <c r="R97" s="39">
        <f t="shared" si="25"/>
        <v>0</v>
      </c>
    </row>
    <row r="98" spans="1:18" ht="18.75" x14ac:dyDescent="0.25">
      <c r="A98" s="23"/>
      <c r="B98" s="23"/>
      <c r="C98" s="21"/>
      <c r="D98" s="16" t="s">
        <v>122</v>
      </c>
      <c r="E98" s="33"/>
      <c r="G98" s="37">
        <f t="shared" si="26"/>
        <v>0</v>
      </c>
      <c r="H98" s="38">
        <f t="shared" si="27"/>
        <v>0</v>
      </c>
      <c r="I98" s="37">
        <f t="shared" si="28"/>
        <v>0</v>
      </c>
      <c r="J98" s="37">
        <f t="shared" si="29"/>
        <v>0</v>
      </c>
      <c r="K98" s="37">
        <f t="shared" si="30"/>
        <v>0</v>
      </c>
      <c r="L98" s="37">
        <f t="shared" si="31"/>
        <v>0</v>
      </c>
      <c r="M98" s="37">
        <f t="shared" si="32"/>
        <v>0</v>
      </c>
      <c r="N98" s="37">
        <f t="shared" si="33"/>
        <v>0</v>
      </c>
      <c r="O98" s="39"/>
      <c r="P98" s="39">
        <f t="shared" si="23"/>
        <v>0</v>
      </c>
      <c r="Q98" s="39">
        <f t="shared" si="24"/>
        <v>0</v>
      </c>
      <c r="R98" s="39">
        <f t="shared" si="25"/>
        <v>0</v>
      </c>
    </row>
    <row r="99" spans="1:18" ht="15.75" x14ac:dyDescent="0.25">
      <c r="A99" s="23"/>
      <c r="B99" s="23"/>
      <c r="C99" s="21"/>
      <c r="D99" s="18" t="s">
        <v>61</v>
      </c>
      <c r="E99" s="34"/>
      <c r="G99" s="37">
        <f t="shared" si="26"/>
        <v>0</v>
      </c>
      <c r="H99" s="38">
        <f t="shared" si="27"/>
        <v>0</v>
      </c>
      <c r="I99" s="37">
        <f t="shared" si="28"/>
        <v>0</v>
      </c>
      <c r="J99" s="37">
        <f t="shared" si="29"/>
        <v>0</v>
      </c>
      <c r="K99" s="37">
        <f t="shared" si="30"/>
        <v>0</v>
      </c>
      <c r="L99" s="37">
        <f t="shared" si="31"/>
        <v>0</v>
      </c>
      <c r="M99" s="37">
        <f t="shared" si="32"/>
        <v>0</v>
      </c>
      <c r="N99" s="37">
        <f t="shared" si="33"/>
        <v>0</v>
      </c>
      <c r="O99" s="39"/>
      <c r="P99" s="39">
        <f t="shared" si="23"/>
        <v>0</v>
      </c>
      <c r="Q99" s="39">
        <f t="shared" si="24"/>
        <v>0</v>
      </c>
      <c r="R99" s="39">
        <f t="shared" si="25"/>
        <v>0</v>
      </c>
    </row>
    <row r="100" spans="1:18" ht="18.75" x14ac:dyDescent="0.25">
      <c r="A100" s="23"/>
      <c r="B100" s="23"/>
      <c r="C100" s="21"/>
      <c r="D100" s="16" t="s">
        <v>123</v>
      </c>
      <c r="E100" s="33"/>
      <c r="G100" s="37">
        <f t="shared" si="26"/>
        <v>0</v>
      </c>
      <c r="H100" s="38">
        <f t="shared" si="27"/>
        <v>0</v>
      </c>
      <c r="I100" s="37">
        <f t="shared" si="28"/>
        <v>0</v>
      </c>
      <c r="J100" s="37">
        <f t="shared" si="29"/>
        <v>0</v>
      </c>
      <c r="K100" s="37">
        <f t="shared" si="30"/>
        <v>0</v>
      </c>
      <c r="L100" s="37">
        <f t="shared" si="31"/>
        <v>0</v>
      </c>
      <c r="M100" s="37">
        <f t="shared" si="32"/>
        <v>0</v>
      </c>
      <c r="N100" s="37">
        <f t="shared" si="33"/>
        <v>0</v>
      </c>
      <c r="O100" s="39"/>
      <c r="P100" s="39">
        <f t="shared" si="23"/>
        <v>0</v>
      </c>
      <c r="Q100" s="39">
        <f t="shared" si="24"/>
        <v>0</v>
      </c>
      <c r="R100" s="39">
        <f t="shared" si="25"/>
        <v>0</v>
      </c>
    </row>
    <row r="101" spans="1:18" ht="15.75" x14ac:dyDescent="0.25">
      <c r="A101" s="23"/>
      <c r="B101" s="23"/>
      <c r="C101" s="21"/>
      <c r="D101" s="18" t="s">
        <v>62</v>
      </c>
      <c r="E101" s="34"/>
      <c r="G101" s="37">
        <f t="shared" si="26"/>
        <v>0</v>
      </c>
      <c r="H101" s="38">
        <f t="shared" si="27"/>
        <v>0</v>
      </c>
      <c r="I101" s="37">
        <f t="shared" si="28"/>
        <v>0</v>
      </c>
      <c r="J101" s="37">
        <f t="shared" si="29"/>
        <v>0</v>
      </c>
      <c r="K101" s="37">
        <f t="shared" si="30"/>
        <v>0</v>
      </c>
      <c r="L101" s="37">
        <f t="shared" si="31"/>
        <v>0</v>
      </c>
      <c r="M101" s="37">
        <f t="shared" si="32"/>
        <v>0</v>
      </c>
      <c r="N101" s="37">
        <f t="shared" si="33"/>
        <v>0</v>
      </c>
      <c r="O101" s="39"/>
      <c r="P101" s="39">
        <f t="shared" si="23"/>
        <v>0</v>
      </c>
      <c r="Q101" s="39">
        <f t="shared" si="24"/>
        <v>0</v>
      </c>
      <c r="R101" s="39">
        <f t="shared" si="25"/>
        <v>0</v>
      </c>
    </row>
    <row r="102" spans="1:18" ht="15.75" x14ac:dyDescent="0.25">
      <c r="A102" s="23"/>
      <c r="B102" s="23"/>
      <c r="C102" s="21"/>
      <c r="D102" s="18" t="s">
        <v>63</v>
      </c>
      <c r="E102" s="34"/>
      <c r="G102" s="37">
        <f t="shared" si="26"/>
        <v>0</v>
      </c>
      <c r="H102" s="38">
        <f t="shared" si="27"/>
        <v>0</v>
      </c>
      <c r="I102" s="37">
        <f t="shared" si="28"/>
        <v>0</v>
      </c>
      <c r="J102" s="37">
        <f t="shared" si="29"/>
        <v>0</v>
      </c>
      <c r="K102" s="37">
        <f t="shared" si="30"/>
        <v>0</v>
      </c>
      <c r="L102" s="37">
        <f t="shared" si="31"/>
        <v>0</v>
      </c>
      <c r="M102" s="37">
        <f t="shared" si="32"/>
        <v>0</v>
      </c>
      <c r="N102" s="37">
        <f t="shared" si="33"/>
        <v>0</v>
      </c>
      <c r="O102" s="39"/>
      <c r="P102" s="39">
        <f t="shared" si="23"/>
        <v>0</v>
      </c>
      <c r="Q102" s="39">
        <f t="shared" si="24"/>
        <v>0</v>
      </c>
      <c r="R102" s="39">
        <f t="shared" si="25"/>
        <v>0</v>
      </c>
    </row>
    <row r="103" spans="1:18" ht="18.75" x14ac:dyDescent="0.25">
      <c r="A103" s="23"/>
      <c r="B103" s="23"/>
      <c r="C103" s="21"/>
      <c r="D103" s="16" t="s">
        <v>124</v>
      </c>
      <c r="E103" s="33"/>
      <c r="G103" s="37">
        <f t="shared" si="26"/>
        <v>0</v>
      </c>
      <c r="H103" s="38">
        <f t="shared" si="27"/>
        <v>0</v>
      </c>
      <c r="I103" s="37">
        <f t="shared" si="28"/>
        <v>0</v>
      </c>
      <c r="J103" s="37">
        <f t="shared" si="29"/>
        <v>0</v>
      </c>
      <c r="K103" s="37">
        <f t="shared" si="30"/>
        <v>0</v>
      </c>
      <c r="L103" s="37">
        <f t="shared" si="31"/>
        <v>0</v>
      </c>
      <c r="M103" s="37">
        <f t="shared" si="32"/>
        <v>0</v>
      </c>
      <c r="N103" s="37">
        <f t="shared" si="33"/>
        <v>0</v>
      </c>
      <c r="O103" s="39"/>
      <c r="P103" s="39">
        <f t="shared" si="23"/>
        <v>0</v>
      </c>
      <c r="Q103" s="39">
        <f t="shared" si="24"/>
        <v>0</v>
      </c>
      <c r="R103" s="39">
        <f t="shared" si="25"/>
        <v>0</v>
      </c>
    </row>
    <row r="104" spans="1:18" ht="15.75" x14ac:dyDescent="0.25">
      <c r="A104" s="23"/>
      <c r="B104" s="23"/>
      <c r="C104" s="21"/>
      <c r="D104" s="18" t="s">
        <v>64</v>
      </c>
      <c r="E104" s="34"/>
      <c r="G104" s="37">
        <f t="shared" si="26"/>
        <v>0</v>
      </c>
      <c r="H104" s="38">
        <f t="shared" si="27"/>
        <v>0</v>
      </c>
      <c r="I104" s="37">
        <f t="shared" si="28"/>
        <v>0</v>
      </c>
      <c r="J104" s="37">
        <f t="shared" si="29"/>
        <v>0</v>
      </c>
      <c r="K104" s="37">
        <f t="shared" si="30"/>
        <v>0</v>
      </c>
      <c r="L104" s="37">
        <f t="shared" si="31"/>
        <v>0</v>
      </c>
      <c r="M104" s="37">
        <f t="shared" si="32"/>
        <v>0</v>
      </c>
      <c r="N104" s="37">
        <f t="shared" si="33"/>
        <v>0</v>
      </c>
      <c r="O104" s="39"/>
      <c r="P104" s="39">
        <f t="shared" si="23"/>
        <v>0</v>
      </c>
      <c r="Q104" s="39">
        <f t="shared" si="24"/>
        <v>0</v>
      </c>
      <c r="R104" s="39">
        <f t="shared" si="25"/>
        <v>0</v>
      </c>
    </row>
    <row r="105" spans="1:18" ht="18.75" x14ac:dyDescent="0.25">
      <c r="A105" s="23"/>
      <c r="B105" s="23"/>
      <c r="C105" s="21"/>
      <c r="D105" s="16" t="s">
        <v>125</v>
      </c>
      <c r="E105" s="33"/>
      <c r="G105" s="37">
        <f t="shared" si="26"/>
        <v>0</v>
      </c>
      <c r="H105" s="38">
        <f t="shared" si="27"/>
        <v>0</v>
      </c>
      <c r="I105" s="37">
        <f t="shared" si="28"/>
        <v>0</v>
      </c>
      <c r="J105" s="37">
        <f t="shared" si="29"/>
        <v>0</v>
      </c>
      <c r="K105" s="37">
        <f t="shared" si="30"/>
        <v>0</v>
      </c>
      <c r="L105" s="37">
        <f t="shared" si="31"/>
        <v>0</v>
      </c>
      <c r="M105" s="37">
        <f t="shared" si="32"/>
        <v>0</v>
      </c>
      <c r="N105" s="37">
        <f t="shared" si="33"/>
        <v>0</v>
      </c>
      <c r="O105" s="39"/>
      <c r="P105" s="39">
        <f t="shared" si="23"/>
        <v>0</v>
      </c>
      <c r="Q105" s="39">
        <f t="shared" si="24"/>
        <v>0</v>
      </c>
      <c r="R105" s="39">
        <f t="shared" si="25"/>
        <v>0</v>
      </c>
    </row>
    <row r="106" spans="1:18" ht="15.75" x14ac:dyDescent="0.25">
      <c r="A106" s="23"/>
      <c r="B106" s="23"/>
      <c r="C106" s="21"/>
      <c r="D106" s="18" t="s">
        <v>65</v>
      </c>
      <c r="E106" s="34"/>
      <c r="G106" s="37">
        <f t="shared" si="26"/>
        <v>0</v>
      </c>
      <c r="H106" s="38">
        <f t="shared" si="27"/>
        <v>0</v>
      </c>
      <c r="I106" s="37">
        <f t="shared" si="28"/>
        <v>0</v>
      </c>
      <c r="J106" s="37">
        <f t="shared" si="29"/>
        <v>0</v>
      </c>
      <c r="K106" s="37">
        <f t="shared" si="30"/>
        <v>0</v>
      </c>
      <c r="L106" s="37">
        <f t="shared" si="31"/>
        <v>0</v>
      </c>
      <c r="M106" s="37">
        <f t="shared" si="32"/>
        <v>0</v>
      </c>
      <c r="N106" s="37">
        <f t="shared" si="33"/>
        <v>0</v>
      </c>
      <c r="O106" s="39"/>
      <c r="P106" s="39">
        <f t="shared" si="23"/>
        <v>0</v>
      </c>
      <c r="Q106" s="39">
        <f t="shared" si="24"/>
        <v>0</v>
      </c>
      <c r="R106" s="39">
        <f t="shared" si="25"/>
        <v>0</v>
      </c>
    </row>
    <row r="107" spans="1:18" ht="15.75" x14ac:dyDescent="0.25">
      <c r="A107" s="23"/>
      <c r="B107" s="23"/>
      <c r="C107" s="21"/>
      <c r="D107" s="18" t="s">
        <v>66</v>
      </c>
      <c r="E107" s="34"/>
      <c r="G107" s="37">
        <f t="shared" si="26"/>
        <v>0</v>
      </c>
      <c r="H107" s="38">
        <f t="shared" si="27"/>
        <v>0</v>
      </c>
      <c r="I107" s="37">
        <f t="shared" si="28"/>
        <v>0</v>
      </c>
      <c r="J107" s="37">
        <f t="shared" si="29"/>
        <v>0</v>
      </c>
      <c r="K107" s="37">
        <f t="shared" si="30"/>
        <v>0</v>
      </c>
      <c r="L107" s="37">
        <f t="shared" si="31"/>
        <v>0</v>
      </c>
      <c r="M107" s="37">
        <f t="shared" si="32"/>
        <v>0</v>
      </c>
      <c r="N107" s="37">
        <f t="shared" si="33"/>
        <v>0</v>
      </c>
      <c r="O107" s="39"/>
      <c r="P107" s="39">
        <f t="shared" si="23"/>
        <v>0</v>
      </c>
      <c r="Q107" s="39">
        <f t="shared" si="24"/>
        <v>0</v>
      </c>
      <c r="R107" s="39">
        <f t="shared" si="25"/>
        <v>0</v>
      </c>
    </row>
    <row r="108" spans="1:18" ht="15.75" x14ac:dyDescent="0.25">
      <c r="A108" s="23"/>
      <c r="B108" s="23"/>
      <c r="C108" s="21"/>
      <c r="D108" s="18" t="s">
        <v>67</v>
      </c>
      <c r="E108" s="34"/>
      <c r="G108" s="37">
        <f t="shared" si="26"/>
        <v>0</v>
      </c>
      <c r="H108" s="38">
        <f t="shared" si="27"/>
        <v>0</v>
      </c>
      <c r="I108" s="37">
        <f t="shared" si="28"/>
        <v>0</v>
      </c>
      <c r="J108" s="37">
        <f t="shared" si="29"/>
        <v>0</v>
      </c>
      <c r="K108" s="37">
        <f t="shared" si="30"/>
        <v>0</v>
      </c>
      <c r="L108" s="37">
        <f t="shared" si="31"/>
        <v>0</v>
      </c>
      <c r="M108" s="37">
        <f t="shared" si="32"/>
        <v>0</v>
      </c>
      <c r="N108" s="37">
        <f t="shared" si="33"/>
        <v>0</v>
      </c>
      <c r="O108" s="39"/>
      <c r="P108" s="39">
        <f t="shared" si="23"/>
        <v>0</v>
      </c>
      <c r="Q108" s="39">
        <f t="shared" si="24"/>
        <v>0</v>
      </c>
      <c r="R108" s="39">
        <f t="shared" si="25"/>
        <v>0</v>
      </c>
    </row>
    <row r="109" spans="1:18" ht="18.75" x14ac:dyDescent="0.25">
      <c r="A109" s="23"/>
      <c r="B109" s="23"/>
      <c r="C109" s="21"/>
      <c r="D109" s="16" t="s">
        <v>126</v>
      </c>
      <c r="E109" s="33"/>
      <c r="G109" s="37">
        <f t="shared" si="26"/>
        <v>0</v>
      </c>
      <c r="H109" s="38">
        <f t="shared" si="27"/>
        <v>0</v>
      </c>
      <c r="I109" s="37">
        <f t="shared" si="28"/>
        <v>0</v>
      </c>
      <c r="J109" s="37">
        <f t="shared" si="29"/>
        <v>0</v>
      </c>
      <c r="K109" s="37">
        <f t="shared" si="30"/>
        <v>0</v>
      </c>
      <c r="L109" s="37">
        <f t="shared" si="31"/>
        <v>0</v>
      </c>
      <c r="M109" s="37">
        <f t="shared" si="32"/>
        <v>0</v>
      </c>
      <c r="N109" s="37">
        <f t="shared" si="33"/>
        <v>0</v>
      </c>
      <c r="O109" s="39"/>
      <c r="P109" s="39">
        <f t="shared" si="23"/>
        <v>0</v>
      </c>
      <c r="Q109" s="39">
        <f t="shared" si="24"/>
        <v>0</v>
      </c>
      <c r="R109" s="39">
        <f t="shared" si="25"/>
        <v>0</v>
      </c>
    </row>
    <row r="110" spans="1:18" ht="15.75" x14ac:dyDescent="0.25">
      <c r="A110" s="23"/>
      <c r="B110" s="23"/>
      <c r="C110" s="21"/>
      <c r="D110" s="18" t="s">
        <v>68</v>
      </c>
      <c r="E110" s="34"/>
      <c r="G110" s="37">
        <f t="shared" si="26"/>
        <v>0</v>
      </c>
      <c r="H110" s="38">
        <f t="shared" si="27"/>
        <v>0</v>
      </c>
      <c r="I110" s="37">
        <f t="shared" si="28"/>
        <v>0</v>
      </c>
      <c r="J110" s="37">
        <f t="shared" si="29"/>
        <v>0</v>
      </c>
      <c r="K110" s="37">
        <f t="shared" si="30"/>
        <v>0</v>
      </c>
      <c r="L110" s="37">
        <f t="shared" si="31"/>
        <v>0</v>
      </c>
      <c r="M110" s="37">
        <f t="shared" si="32"/>
        <v>0</v>
      </c>
      <c r="N110" s="37">
        <f t="shared" si="33"/>
        <v>0</v>
      </c>
      <c r="O110" s="39"/>
      <c r="P110" s="39">
        <f t="shared" si="23"/>
        <v>0</v>
      </c>
      <c r="Q110" s="39">
        <f t="shared" si="24"/>
        <v>0</v>
      </c>
      <c r="R110" s="39">
        <f t="shared" si="25"/>
        <v>0</v>
      </c>
    </row>
    <row r="111" spans="1:18" ht="18.75" x14ac:dyDescent="0.25">
      <c r="A111" s="23"/>
      <c r="B111" s="23"/>
      <c r="C111" s="21"/>
      <c r="D111" s="16" t="s">
        <v>127</v>
      </c>
      <c r="E111" s="33"/>
      <c r="G111" s="37">
        <f t="shared" si="26"/>
        <v>0</v>
      </c>
      <c r="H111" s="38">
        <f t="shared" si="27"/>
        <v>0</v>
      </c>
      <c r="I111" s="37">
        <f t="shared" si="28"/>
        <v>0</v>
      </c>
      <c r="J111" s="37">
        <f t="shared" si="29"/>
        <v>0</v>
      </c>
      <c r="K111" s="37">
        <f t="shared" si="30"/>
        <v>0</v>
      </c>
      <c r="L111" s="37">
        <f t="shared" si="31"/>
        <v>0</v>
      </c>
      <c r="M111" s="37">
        <f t="shared" si="32"/>
        <v>0</v>
      </c>
      <c r="N111" s="37">
        <f t="shared" si="33"/>
        <v>0</v>
      </c>
      <c r="O111" s="39"/>
      <c r="P111" s="39">
        <f t="shared" si="23"/>
        <v>0</v>
      </c>
      <c r="Q111" s="39">
        <f t="shared" si="24"/>
        <v>0</v>
      </c>
      <c r="R111" s="39">
        <f t="shared" si="25"/>
        <v>0</v>
      </c>
    </row>
    <row r="112" spans="1:18" ht="15.75" x14ac:dyDescent="0.25">
      <c r="A112" s="23"/>
      <c r="B112" s="23"/>
      <c r="C112" s="21"/>
      <c r="D112" s="18" t="s">
        <v>69</v>
      </c>
      <c r="E112" s="34"/>
      <c r="G112" s="37">
        <f t="shared" si="26"/>
        <v>0</v>
      </c>
      <c r="H112" s="38">
        <f t="shared" si="27"/>
        <v>0</v>
      </c>
      <c r="I112" s="37">
        <f t="shared" si="28"/>
        <v>0</v>
      </c>
      <c r="J112" s="37">
        <f t="shared" si="29"/>
        <v>0</v>
      </c>
      <c r="K112" s="37">
        <f t="shared" si="30"/>
        <v>0</v>
      </c>
      <c r="L112" s="37">
        <f t="shared" si="31"/>
        <v>0</v>
      </c>
      <c r="M112" s="37">
        <f t="shared" si="32"/>
        <v>0</v>
      </c>
      <c r="N112" s="37">
        <f t="shared" si="33"/>
        <v>0</v>
      </c>
      <c r="O112" s="39"/>
      <c r="P112" s="39">
        <f t="shared" si="23"/>
        <v>0</v>
      </c>
      <c r="Q112" s="39">
        <f t="shared" si="24"/>
        <v>0</v>
      </c>
      <c r="R112" s="39">
        <f t="shared" si="25"/>
        <v>0</v>
      </c>
    </row>
    <row r="113" spans="1:18" ht="18.75" x14ac:dyDescent="0.25">
      <c r="A113" s="23"/>
      <c r="B113" s="23"/>
      <c r="C113" s="21"/>
      <c r="D113" s="16" t="s">
        <v>128</v>
      </c>
      <c r="E113" s="33"/>
      <c r="G113" s="37">
        <f t="shared" si="26"/>
        <v>0</v>
      </c>
      <c r="H113" s="38">
        <f t="shared" si="27"/>
        <v>0</v>
      </c>
      <c r="I113" s="37">
        <f t="shared" si="28"/>
        <v>0</v>
      </c>
      <c r="J113" s="37">
        <f t="shared" si="29"/>
        <v>0</v>
      </c>
      <c r="K113" s="37">
        <f t="shared" si="30"/>
        <v>0</v>
      </c>
      <c r="L113" s="37">
        <f t="shared" si="31"/>
        <v>0</v>
      </c>
      <c r="M113" s="37">
        <f t="shared" si="32"/>
        <v>0</v>
      </c>
      <c r="N113" s="37">
        <f t="shared" si="33"/>
        <v>0</v>
      </c>
      <c r="O113" s="39"/>
      <c r="P113" s="39">
        <f t="shared" si="23"/>
        <v>0</v>
      </c>
      <c r="Q113" s="39">
        <f t="shared" si="24"/>
        <v>0</v>
      </c>
      <c r="R113" s="39">
        <f t="shared" si="25"/>
        <v>0</v>
      </c>
    </row>
    <row r="114" spans="1:18" ht="15.75" x14ac:dyDescent="0.25">
      <c r="A114" s="23"/>
      <c r="B114" s="23"/>
      <c r="C114" s="21"/>
      <c r="D114" s="18" t="s">
        <v>70</v>
      </c>
      <c r="E114" s="34"/>
      <c r="G114" s="37">
        <f t="shared" si="26"/>
        <v>0</v>
      </c>
      <c r="H114" s="38">
        <f t="shared" si="27"/>
        <v>0</v>
      </c>
      <c r="I114" s="37">
        <f t="shared" si="28"/>
        <v>0</v>
      </c>
      <c r="J114" s="37">
        <f t="shared" si="29"/>
        <v>0</v>
      </c>
      <c r="K114" s="37">
        <f t="shared" si="30"/>
        <v>0</v>
      </c>
      <c r="L114" s="37">
        <f t="shared" si="31"/>
        <v>0</v>
      </c>
      <c r="M114" s="37">
        <f t="shared" si="32"/>
        <v>0</v>
      </c>
      <c r="N114" s="37">
        <f t="shared" si="33"/>
        <v>0</v>
      </c>
      <c r="O114" s="39"/>
      <c r="P114" s="39">
        <f t="shared" si="23"/>
        <v>0</v>
      </c>
      <c r="Q114" s="39">
        <f t="shared" si="24"/>
        <v>0</v>
      </c>
      <c r="R114" s="39">
        <f t="shared" si="25"/>
        <v>0</v>
      </c>
    </row>
    <row r="115" spans="1:18" ht="18.75" x14ac:dyDescent="0.25">
      <c r="A115" s="23"/>
      <c r="B115" s="23"/>
      <c r="C115" s="21"/>
      <c r="D115" s="16" t="s">
        <v>129</v>
      </c>
      <c r="E115" s="33"/>
      <c r="G115" s="37">
        <f t="shared" si="26"/>
        <v>0</v>
      </c>
      <c r="H115" s="38">
        <f t="shared" si="27"/>
        <v>0</v>
      </c>
      <c r="I115" s="37">
        <f t="shared" si="28"/>
        <v>0</v>
      </c>
      <c r="J115" s="37">
        <f t="shared" si="29"/>
        <v>0</v>
      </c>
      <c r="K115" s="37">
        <f t="shared" si="30"/>
        <v>0</v>
      </c>
      <c r="L115" s="37">
        <f t="shared" si="31"/>
        <v>0</v>
      </c>
      <c r="M115" s="37">
        <f t="shared" si="32"/>
        <v>0</v>
      </c>
      <c r="N115" s="37">
        <f t="shared" si="33"/>
        <v>0</v>
      </c>
      <c r="O115" s="39"/>
      <c r="P115" s="39">
        <f t="shared" si="23"/>
        <v>0</v>
      </c>
      <c r="Q115" s="39">
        <f t="shared" si="24"/>
        <v>0</v>
      </c>
      <c r="R115" s="39">
        <f t="shared" si="25"/>
        <v>0</v>
      </c>
    </row>
    <row r="116" spans="1:18" ht="18.75" x14ac:dyDescent="0.25">
      <c r="A116" s="23"/>
      <c r="B116" s="23"/>
      <c r="C116" s="21"/>
      <c r="D116" s="25" t="s">
        <v>154</v>
      </c>
      <c r="E116" s="36"/>
      <c r="G116" s="37">
        <f t="shared" si="26"/>
        <v>0</v>
      </c>
      <c r="H116" s="38">
        <f t="shared" si="27"/>
        <v>0</v>
      </c>
      <c r="I116" s="37">
        <f t="shared" si="28"/>
        <v>0</v>
      </c>
      <c r="J116" s="37">
        <f t="shared" si="29"/>
        <v>0</v>
      </c>
      <c r="K116" s="37">
        <f t="shared" si="30"/>
        <v>0</v>
      </c>
      <c r="L116" s="37">
        <f t="shared" si="31"/>
        <v>0</v>
      </c>
      <c r="M116" s="37">
        <f t="shared" si="32"/>
        <v>0</v>
      </c>
      <c r="N116" s="37">
        <f t="shared" si="33"/>
        <v>0</v>
      </c>
      <c r="O116" s="39"/>
      <c r="P116" s="39">
        <f t="shared" si="23"/>
        <v>0</v>
      </c>
      <c r="Q116" s="39">
        <f t="shared" si="24"/>
        <v>0</v>
      </c>
      <c r="R116" s="39">
        <f t="shared" si="25"/>
        <v>0</v>
      </c>
    </row>
    <row r="117" spans="1:18" ht="19.5" x14ac:dyDescent="0.25">
      <c r="A117" s="23"/>
      <c r="B117" s="23"/>
      <c r="C117" s="21"/>
      <c r="D117" s="17" t="s">
        <v>71</v>
      </c>
      <c r="E117" s="32"/>
      <c r="G117" s="37">
        <f t="shared" si="26"/>
        <v>0</v>
      </c>
      <c r="H117" s="38">
        <f t="shared" si="27"/>
        <v>0</v>
      </c>
      <c r="I117" s="37">
        <f t="shared" si="28"/>
        <v>0</v>
      </c>
      <c r="J117" s="37">
        <f t="shared" si="29"/>
        <v>0</v>
      </c>
      <c r="K117" s="37">
        <f t="shared" si="30"/>
        <v>0</v>
      </c>
      <c r="L117" s="37">
        <f t="shared" si="31"/>
        <v>0</v>
      </c>
      <c r="M117" s="37">
        <f t="shared" si="32"/>
        <v>0</v>
      </c>
      <c r="N117" s="37">
        <f t="shared" si="33"/>
        <v>0</v>
      </c>
      <c r="O117" s="39"/>
      <c r="P117" s="39">
        <f t="shared" si="23"/>
        <v>0</v>
      </c>
      <c r="Q117" s="39">
        <f t="shared" si="24"/>
        <v>0</v>
      </c>
      <c r="R117" s="39">
        <f t="shared" si="25"/>
        <v>0</v>
      </c>
    </row>
    <row r="118" spans="1:18" ht="18.75" x14ac:dyDescent="0.25">
      <c r="A118" s="23"/>
      <c r="B118" s="23"/>
      <c r="C118" s="21"/>
      <c r="D118" s="16" t="s">
        <v>130</v>
      </c>
      <c r="E118" s="33"/>
      <c r="G118" s="37">
        <f t="shared" si="26"/>
        <v>0</v>
      </c>
      <c r="H118" s="38">
        <f t="shared" si="27"/>
        <v>0</v>
      </c>
      <c r="I118" s="37">
        <f t="shared" si="28"/>
        <v>0</v>
      </c>
      <c r="J118" s="37">
        <f t="shared" si="29"/>
        <v>0</v>
      </c>
      <c r="K118" s="37">
        <f t="shared" si="30"/>
        <v>0</v>
      </c>
      <c r="L118" s="37">
        <f t="shared" si="31"/>
        <v>0</v>
      </c>
      <c r="M118" s="37">
        <f t="shared" si="32"/>
        <v>0</v>
      </c>
      <c r="N118" s="37">
        <f t="shared" si="33"/>
        <v>0</v>
      </c>
      <c r="O118" s="39"/>
      <c r="P118" s="39">
        <f t="shared" si="23"/>
        <v>0</v>
      </c>
      <c r="Q118" s="39">
        <f t="shared" si="24"/>
        <v>0</v>
      </c>
      <c r="R118" s="39">
        <f t="shared" si="25"/>
        <v>0</v>
      </c>
    </row>
    <row r="119" spans="1:18" ht="18.75" x14ac:dyDescent="0.25">
      <c r="A119" s="23"/>
      <c r="B119" s="23"/>
      <c r="C119" s="21"/>
      <c r="D119" s="16" t="s">
        <v>131</v>
      </c>
      <c r="E119" s="33"/>
      <c r="G119" s="37">
        <f t="shared" si="26"/>
        <v>0</v>
      </c>
      <c r="H119" s="38">
        <f t="shared" si="27"/>
        <v>0</v>
      </c>
      <c r="I119" s="37">
        <f t="shared" si="28"/>
        <v>0</v>
      </c>
      <c r="J119" s="37">
        <f t="shared" si="29"/>
        <v>0</v>
      </c>
      <c r="K119" s="37">
        <f t="shared" si="30"/>
        <v>0</v>
      </c>
      <c r="L119" s="37">
        <f t="shared" si="31"/>
        <v>0</v>
      </c>
      <c r="M119" s="37">
        <f t="shared" si="32"/>
        <v>0</v>
      </c>
      <c r="N119" s="37">
        <f t="shared" si="33"/>
        <v>0</v>
      </c>
      <c r="O119" s="39"/>
      <c r="P119" s="39">
        <f t="shared" si="23"/>
        <v>0</v>
      </c>
      <c r="Q119" s="39">
        <f t="shared" si="24"/>
        <v>0</v>
      </c>
      <c r="R119" s="39">
        <f t="shared" si="25"/>
        <v>0</v>
      </c>
    </row>
    <row r="120" spans="1:18" ht="18.75" x14ac:dyDescent="0.25">
      <c r="A120" s="23"/>
      <c r="B120" s="23"/>
      <c r="C120" s="21"/>
      <c r="D120" s="16" t="s">
        <v>132</v>
      </c>
      <c r="E120" s="33"/>
      <c r="G120" s="37">
        <f t="shared" si="26"/>
        <v>0</v>
      </c>
      <c r="H120" s="38">
        <f t="shared" si="27"/>
        <v>0</v>
      </c>
      <c r="I120" s="37">
        <f t="shared" si="28"/>
        <v>0</v>
      </c>
      <c r="J120" s="37">
        <f t="shared" si="29"/>
        <v>0</v>
      </c>
      <c r="K120" s="37">
        <f t="shared" si="30"/>
        <v>0</v>
      </c>
      <c r="L120" s="37">
        <f t="shared" si="31"/>
        <v>0</v>
      </c>
      <c r="M120" s="37">
        <f t="shared" si="32"/>
        <v>0</v>
      </c>
      <c r="N120" s="37">
        <f t="shared" si="33"/>
        <v>0</v>
      </c>
      <c r="O120" s="39"/>
      <c r="P120" s="39">
        <f t="shared" si="23"/>
        <v>0</v>
      </c>
      <c r="Q120" s="39">
        <f t="shared" si="24"/>
        <v>0</v>
      </c>
      <c r="R120" s="39">
        <f t="shared" si="25"/>
        <v>0</v>
      </c>
    </row>
    <row r="121" spans="1:18" ht="18.75" x14ac:dyDescent="0.25">
      <c r="A121" s="23"/>
      <c r="B121" s="23"/>
      <c r="C121" s="21"/>
      <c r="D121" s="16" t="s">
        <v>133</v>
      </c>
      <c r="E121" s="33"/>
      <c r="G121" s="37">
        <f t="shared" si="26"/>
        <v>0</v>
      </c>
      <c r="H121" s="38">
        <f t="shared" si="27"/>
        <v>0</v>
      </c>
      <c r="I121" s="37">
        <f t="shared" si="28"/>
        <v>0</v>
      </c>
      <c r="J121" s="37">
        <f t="shared" si="29"/>
        <v>0</v>
      </c>
      <c r="K121" s="37">
        <f t="shared" si="30"/>
        <v>0</v>
      </c>
      <c r="L121" s="37">
        <f t="shared" si="31"/>
        <v>0</v>
      </c>
      <c r="M121" s="37">
        <f t="shared" si="32"/>
        <v>0</v>
      </c>
      <c r="N121" s="37">
        <f t="shared" si="33"/>
        <v>0</v>
      </c>
      <c r="O121" s="39"/>
      <c r="P121" s="39">
        <f t="shared" si="23"/>
        <v>0</v>
      </c>
      <c r="Q121" s="39">
        <f t="shared" si="24"/>
        <v>0</v>
      </c>
      <c r="R121" s="39">
        <f t="shared" si="25"/>
        <v>0</v>
      </c>
    </row>
    <row r="122" spans="1:18" ht="15.75" x14ac:dyDescent="0.25">
      <c r="A122" s="23"/>
      <c r="B122" s="23"/>
      <c r="C122" s="21"/>
      <c r="D122" s="18" t="s">
        <v>72</v>
      </c>
      <c r="E122" s="34"/>
      <c r="G122" s="37">
        <f t="shared" si="26"/>
        <v>0</v>
      </c>
      <c r="H122" s="38">
        <f t="shared" si="27"/>
        <v>0</v>
      </c>
      <c r="I122" s="37">
        <f t="shared" si="28"/>
        <v>0</v>
      </c>
      <c r="J122" s="37">
        <f t="shared" si="29"/>
        <v>0</v>
      </c>
      <c r="K122" s="37">
        <f t="shared" si="30"/>
        <v>0</v>
      </c>
      <c r="L122" s="37">
        <f t="shared" si="31"/>
        <v>0</v>
      </c>
      <c r="M122" s="37">
        <f t="shared" si="32"/>
        <v>0</v>
      </c>
      <c r="N122" s="37">
        <f t="shared" si="33"/>
        <v>0</v>
      </c>
      <c r="O122" s="39"/>
      <c r="P122" s="39">
        <f t="shared" si="23"/>
        <v>0</v>
      </c>
      <c r="Q122" s="39">
        <f t="shared" si="24"/>
        <v>0</v>
      </c>
      <c r="R122" s="39">
        <f t="shared" si="25"/>
        <v>0</v>
      </c>
    </row>
    <row r="123" spans="1:18" ht="15.75" x14ac:dyDescent="0.25">
      <c r="A123" s="23"/>
      <c r="B123" s="23"/>
      <c r="C123" s="21"/>
      <c r="D123" s="18" t="s">
        <v>73</v>
      </c>
      <c r="E123" s="34"/>
      <c r="G123" s="37">
        <f t="shared" si="26"/>
        <v>0</v>
      </c>
      <c r="H123" s="38">
        <f t="shared" si="27"/>
        <v>0</v>
      </c>
      <c r="I123" s="37">
        <f t="shared" si="28"/>
        <v>0</v>
      </c>
      <c r="J123" s="37">
        <f t="shared" si="29"/>
        <v>0</v>
      </c>
      <c r="K123" s="37">
        <f t="shared" si="30"/>
        <v>0</v>
      </c>
      <c r="L123" s="37">
        <f t="shared" si="31"/>
        <v>0</v>
      </c>
      <c r="M123" s="37">
        <f t="shared" si="32"/>
        <v>0</v>
      </c>
      <c r="N123" s="37">
        <f t="shared" si="33"/>
        <v>0</v>
      </c>
      <c r="O123" s="39"/>
      <c r="P123" s="39">
        <f t="shared" si="23"/>
        <v>0</v>
      </c>
      <c r="Q123" s="39">
        <f t="shared" si="24"/>
        <v>0</v>
      </c>
      <c r="R123" s="39">
        <f t="shared" si="25"/>
        <v>0</v>
      </c>
    </row>
    <row r="124" spans="1:18" ht="15.75" x14ac:dyDescent="0.25">
      <c r="A124" s="23"/>
      <c r="B124" s="23"/>
      <c r="C124" s="21"/>
      <c r="D124" s="18" t="s">
        <v>74</v>
      </c>
      <c r="E124" s="34"/>
      <c r="G124" s="37">
        <f t="shared" si="26"/>
        <v>0</v>
      </c>
      <c r="H124" s="38">
        <f t="shared" si="27"/>
        <v>0</v>
      </c>
      <c r="I124" s="37">
        <f t="shared" si="28"/>
        <v>0</v>
      </c>
      <c r="J124" s="37">
        <f t="shared" si="29"/>
        <v>0</v>
      </c>
      <c r="K124" s="37">
        <f t="shared" si="30"/>
        <v>0</v>
      </c>
      <c r="L124" s="37">
        <f t="shared" si="31"/>
        <v>0</v>
      </c>
      <c r="M124" s="37">
        <f t="shared" si="32"/>
        <v>0</v>
      </c>
      <c r="N124" s="37">
        <f t="shared" si="33"/>
        <v>0</v>
      </c>
      <c r="O124" s="39"/>
      <c r="P124" s="39">
        <f t="shared" si="23"/>
        <v>0</v>
      </c>
      <c r="Q124" s="39">
        <f t="shared" si="24"/>
        <v>0</v>
      </c>
      <c r="R124" s="39">
        <f t="shared" si="25"/>
        <v>0</v>
      </c>
    </row>
    <row r="125" spans="1:18" ht="15.75" x14ac:dyDescent="0.25">
      <c r="A125" s="23"/>
      <c r="B125" s="23"/>
      <c r="C125" s="21"/>
      <c r="D125" s="18" t="s">
        <v>75</v>
      </c>
      <c r="E125" s="34"/>
      <c r="G125" s="37">
        <f t="shared" si="26"/>
        <v>0</v>
      </c>
      <c r="H125" s="38">
        <f t="shared" si="27"/>
        <v>0</v>
      </c>
      <c r="I125" s="37">
        <f t="shared" si="28"/>
        <v>0</v>
      </c>
      <c r="J125" s="37">
        <f t="shared" si="29"/>
        <v>0</v>
      </c>
      <c r="K125" s="37">
        <f t="shared" si="30"/>
        <v>0</v>
      </c>
      <c r="L125" s="37">
        <f t="shared" si="31"/>
        <v>0</v>
      </c>
      <c r="M125" s="37">
        <f t="shared" si="32"/>
        <v>0</v>
      </c>
      <c r="N125" s="37">
        <f t="shared" si="33"/>
        <v>0</v>
      </c>
      <c r="O125" s="39"/>
      <c r="P125" s="39">
        <f t="shared" si="23"/>
        <v>0</v>
      </c>
      <c r="Q125" s="39">
        <f t="shared" si="24"/>
        <v>0</v>
      </c>
      <c r="R125" s="39">
        <f t="shared" si="25"/>
        <v>0</v>
      </c>
    </row>
    <row r="126" spans="1:18" ht="18.75" x14ac:dyDescent="0.25">
      <c r="A126" s="23"/>
      <c r="B126" s="23"/>
      <c r="C126" s="21"/>
      <c r="D126" s="16" t="s">
        <v>134</v>
      </c>
      <c r="E126" s="33"/>
      <c r="G126" s="37">
        <f t="shared" si="26"/>
        <v>0</v>
      </c>
      <c r="H126" s="38">
        <f t="shared" si="27"/>
        <v>0</v>
      </c>
      <c r="I126" s="37">
        <f t="shared" si="28"/>
        <v>0</v>
      </c>
      <c r="J126" s="37">
        <f t="shared" si="29"/>
        <v>0</v>
      </c>
      <c r="K126" s="37">
        <f t="shared" si="30"/>
        <v>0</v>
      </c>
      <c r="L126" s="37">
        <f t="shared" si="31"/>
        <v>0</v>
      </c>
      <c r="M126" s="37">
        <f t="shared" si="32"/>
        <v>0</v>
      </c>
      <c r="N126" s="37">
        <f t="shared" si="33"/>
        <v>0</v>
      </c>
      <c r="O126" s="39"/>
      <c r="P126" s="39">
        <f t="shared" si="23"/>
        <v>0</v>
      </c>
      <c r="Q126" s="39">
        <f t="shared" si="24"/>
        <v>0</v>
      </c>
      <c r="R126" s="39">
        <f t="shared" si="25"/>
        <v>0</v>
      </c>
    </row>
    <row r="127" spans="1:18" ht="15.75" x14ac:dyDescent="0.25">
      <c r="A127" s="23"/>
      <c r="B127" s="23"/>
      <c r="C127" s="21"/>
      <c r="D127" s="18" t="s">
        <v>72</v>
      </c>
      <c r="E127" s="34"/>
      <c r="G127" s="37">
        <f t="shared" si="26"/>
        <v>0</v>
      </c>
      <c r="H127" s="38">
        <f t="shared" si="27"/>
        <v>0</v>
      </c>
      <c r="I127" s="37">
        <f t="shared" si="28"/>
        <v>0</v>
      </c>
      <c r="J127" s="37">
        <f t="shared" si="29"/>
        <v>0</v>
      </c>
      <c r="K127" s="37">
        <f t="shared" si="30"/>
        <v>0</v>
      </c>
      <c r="L127" s="37">
        <f t="shared" si="31"/>
        <v>0</v>
      </c>
      <c r="M127" s="37">
        <f t="shared" si="32"/>
        <v>0</v>
      </c>
      <c r="N127" s="37">
        <f t="shared" si="33"/>
        <v>0</v>
      </c>
      <c r="O127" s="39"/>
      <c r="P127" s="39">
        <f t="shared" si="23"/>
        <v>0</v>
      </c>
      <c r="Q127" s="39">
        <f t="shared" si="24"/>
        <v>0</v>
      </c>
      <c r="R127" s="39">
        <f t="shared" si="25"/>
        <v>0</v>
      </c>
    </row>
    <row r="128" spans="1:18" ht="15.75" x14ac:dyDescent="0.25">
      <c r="A128" s="23"/>
      <c r="B128" s="23"/>
      <c r="C128" s="21"/>
      <c r="D128" s="18" t="s">
        <v>76</v>
      </c>
      <c r="E128" s="34"/>
      <c r="G128" s="37">
        <f t="shared" si="26"/>
        <v>0</v>
      </c>
      <c r="H128" s="38">
        <f t="shared" si="27"/>
        <v>0</v>
      </c>
      <c r="I128" s="37">
        <f t="shared" si="28"/>
        <v>0</v>
      </c>
      <c r="J128" s="37">
        <f t="shared" si="29"/>
        <v>0</v>
      </c>
      <c r="K128" s="37">
        <f t="shared" si="30"/>
        <v>0</v>
      </c>
      <c r="L128" s="37">
        <f t="shared" si="31"/>
        <v>0</v>
      </c>
      <c r="M128" s="37">
        <f t="shared" si="32"/>
        <v>0</v>
      </c>
      <c r="N128" s="37">
        <f t="shared" si="33"/>
        <v>0</v>
      </c>
      <c r="O128" s="39"/>
      <c r="P128" s="39">
        <f t="shared" si="23"/>
        <v>0</v>
      </c>
      <c r="Q128" s="39">
        <f t="shared" si="24"/>
        <v>0</v>
      </c>
      <c r="R128" s="39">
        <f t="shared" si="25"/>
        <v>0</v>
      </c>
    </row>
    <row r="129" spans="1:18" ht="15.75" x14ac:dyDescent="0.25">
      <c r="A129" s="23"/>
      <c r="B129" s="23"/>
      <c r="C129" s="21"/>
      <c r="D129" s="18" t="s">
        <v>77</v>
      </c>
      <c r="E129" s="34"/>
      <c r="G129" s="37">
        <f t="shared" si="26"/>
        <v>0</v>
      </c>
      <c r="H129" s="38">
        <f t="shared" si="27"/>
        <v>0</v>
      </c>
      <c r="I129" s="37">
        <f t="shared" si="28"/>
        <v>0</v>
      </c>
      <c r="J129" s="37">
        <f t="shared" si="29"/>
        <v>0</v>
      </c>
      <c r="K129" s="37">
        <f t="shared" si="30"/>
        <v>0</v>
      </c>
      <c r="L129" s="37">
        <f t="shared" si="31"/>
        <v>0</v>
      </c>
      <c r="M129" s="37">
        <f t="shared" si="32"/>
        <v>0</v>
      </c>
      <c r="N129" s="37">
        <f t="shared" si="33"/>
        <v>0</v>
      </c>
      <c r="O129" s="39"/>
      <c r="P129" s="39">
        <f t="shared" si="23"/>
        <v>0</v>
      </c>
      <c r="Q129" s="39">
        <f t="shared" si="24"/>
        <v>0</v>
      </c>
      <c r="R129" s="39">
        <f t="shared" si="25"/>
        <v>0</v>
      </c>
    </row>
    <row r="130" spans="1:18" ht="19.5" x14ac:dyDescent="0.25">
      <c r="A130" s="23"/>
      <c r="B130" s="23"/>
      <c r="C130" s="21"/>
      <c r="D130" s="17" t="s">
        <v>78</v>
      </c>
      <c r="E130" s="32"/>
      <c r="G130" s="37">
        <f t="shared" si="26"/>
        <v>0</v>
      </c>
      <c r="H130" s="38">
        <f t="shared" si="27"/>
        <v>0</v>
      </c>
      <c r="I130" s="37">
        <f t="shared" si="28"/>
        <v>0</v>
      </c>
      <c r="J130" s="37">
        <f t="shared" si="29"/>
        <v>0</v>
      </c>
      <c r="K130" s="37">
        <f t="shared" si="30"/>
        <v>0</v>
      </c>
      <c r="L130" s="37">
        <f t="shared" si="31"/>
        <v>0</v>
      </c>
      <c r="M130" s="37">
        <f t="shared" si="32"/>
        <v>0</v>
      </c>
      <c r="N130" s="37">
        <f t="shared" si="33"/>
        <v>0</v>
      </c>
      <c r="O130" s="39"/>
      <c r="P130" s="39">
        <f t="shared" si="23"/>
        <v>0</v>
      </c>
      <c r="Q130" s="39">
        <f t="shared" si="24"/>
        <v>0</v>
      </c>
      <c r="R130" s="39">
        <f t="shared" si="25"/>
        <v>0</v>
      </c>
    </row>
    <row r="131" spans="1:18" ht="19.5" x14ac:dyDescent="0.25">
      <c r="A131" s="23"/>
      <c r="B131" s="23"/>
      <c r="C131" s="21"/>
      <c r="D131" s="17" t="s">
        <v>79</v>
      </c>
      <c r="E131" s="32"/>
      <c r="F131" s="11"/>
      <c r="G131" s="37">
        <f t="shared" si="26"/>
        <v>0</v>
      </c>
      <c r="H131" s="38">
        <f t="shared" si="27"/>
        <v>0</v>
      </c>
      <c r="I131" s="37">
        <f t="shared" si="28"/>
        <v>0</v>
      </c>
      <c r="J131" s="37">
        <f t="shared" si="29"/>
        <v>0</v>
      </c>
      <c r="K131" s="37">
        <f t="shared" si="30"/>
        <v>0</v>
      </c>
      <c r="L131" s="37">
        <f t="shared" si="31"/>
        <v>0</v>
      </c>
      <c r="M131" s="37">
        <f t="shared" si="32"/>
        <v>0</v>
      </c>
      <c r="N131" s="37">
        <f t="shared" si="33"/>
        <v>0</v>
      </c>
      <c r="O131" s="39"/>
      <c r="P131" s="39">
        <f t="shared" si="23"/>
        <v>0</v>
      </c>
      <c r="Q131" s="39">
        <f t="shared" si="24"/>
        <v>0</v>
      </c>
      <c r="R131" s="39">
        <f t="shared" si="25"/>
        <v>0</v>
      </c>
    </row>
    <row r="132" spans="1:18" ht="18.75" x14ac:dyDescent="0.25">
      <c r="A132" s="23"/>
      <c r="B132" s="23"/>
      <c r="C132" s="21"/>
      <c r="D132" s="16" t="s">
        <v>135</v>
      </c>
      <c r="E132" s="33"/>
      <c r="F132" s="11"/>
      <c r="G132" s="37">
        <f t="shared" si="26"/>
        <v>0</v>
      </c>
      <c r="H132" s="38">
        <f t="shared" si="27"/>
        <v>0</v>
      </c>
      <c r="I132" s="37">
        <f t="shared" si="28"/>
        <v>0</v>
      </c>
      <c r="J132" s="37">
        <f t="shared" si="29"/>
        <v>0</v>
      </c>
      <c r="K132" s="37">
        <f t="shared" si="30"/>
        <v>0</v>
      </c>
      <c r="L132" s="37">
        <f t="shared" si="31"/>
        <v>0</v>
      </c>
      <c r="M132" s="37">
        <f t="shared" si="32"/>
        <v>0</v>
      </c>
      <c r="N132" s="37">
        <f t="shared" si="33"/>
        <v>0</v>
      </c>
      <c r="O132" s="39"/>
      <c r="P132" s="39">
        <f t="shared" si="23"/>
        <v>0</v>
      </c>
      <c r="Q132" s="39">
        <f t="shared" si="24"/>
        <v>0</v>
      </c>
      <c r="R132" s="39">
        <f t="shared" si="25"/>
        <v>0</v>
      </c>
    </row>
    <row r="133" spans="1:18" ht="19.5" x14ac:dyDescent="0.25">
      <c r="A133" s="23"/>
      <c r="B133" s="23"/>
      <c r="C133" s="21"/>
      <c r="D133" s="17" t="s">
        <v>80</v>
      </c>
      <c r="E133" s="32"/>
      <c r="F133" s="11"/>
      <c r="G133" s="37">
        <f t="shared" si="26"/>
        <v>0</v>
      </c>
      <c r="H133" s="38">
        <f t="shared" si="27"/>
        <v>0</v>
      </c>
      <c r="I133" s="37">
        <f t="shared" si="28"/>
        <v>0</v>
      </c>
      <c r="J133" s="37">
        <f t="shared" si="29"/>
        <v>0</v>
      </c>
      <c r="K133" s="37">
        <f t="shared" si="30"/>
        <v>0</v>
      </c>
      <c r="L133" s="37">
        <f t="shared" si="31"/>
        <v>0</v>
      </c>
      <c r="M133" s="37">
        <f t="shared" si="32"/>
        <v>0</v>
      </c>
      <c r="N133" s="37">
        <f t="shared" si="33"/>
        <v>0</v>
      </c>
      <c r="O133" s="39"/>
      <c r="P133" s="39">
        <f t="shared" si="23"/>
        <v>0</v>
      </c>
      <c r="Q133" s="39">
        <f t="shared" si="24"/>
        <v>0</v>
      </c>
      <c r="R133" s="39">
        <f t="shared" si="25"/>
        <v>0</v>
      </c>
    </row>
    <row r="134" spans="1:18" ht="18.75" x14ac:dyDescent="0.25">
      <c r="A134" s="23"/>
      <c r="B134" s="23"/>
      <c r="C134" s="21"/>
      <c r="D134" s="16" t="s">
        <v>136</v>
      </c>
      <c r="E134" s="33"/>
      <c r="F134" s="11"/>
      <c r="G134" s="37">
        <f t="shared" si="26"/>
        <v>0</v>
      </c>
      <c r="H134" s="38">
        <f t="shared" si="27"/>
        <v>0</v>
      </c>
      <c r="I134" s="37">
        <f t="shared" si="28"/>
        <v>0</v>
      </c>
      <c r="J134" s="37">
        <f t="shared" si="29"/>
        <v>0</v>
      </c>
      <c r="K134" s="37">
        <f t="shared" si="30"/>
        <v>0</v>
      </c>
      <c r="L134" s="37">
        <f t="shared" si="31"/>
        <v>0</v>
      </c>
      <c r="M134" s="37">
        <f t="shared" si="32"/>
        <v>0</v>
      </c>
      <c r="N134" s="37">
        <f t="shared" si="33"/>
        <v>0</v>
      </c>
      <c r="O134" s="39"/>
      <c r="P134" s="39">
        <f t="shared" si="23"/>
        <v>0</v>
      </c>
      <c r="Q134" s="39">
        <f t="shared" si="24"/>
        <v>0</v>
      </c>
      <c r="R134" s="39">
        <f t="shared" si="25"/>
        <v>0</v>
      </c>
    </row>
    <row r="135" spans="1:18" ht="15.75" x14ac:dyDescent="0.25">
      <c r="A135" s="23"/>
      <c r="B135" s="23"/>
      <c r="C135" s="21"/>
      <c r="D135" s="18" t="s">
        <v>81</v>
      </c>
      <c r="E135" s="34"/>
      <c r="F135" s="11"/>
      <c r="G135" s="37">
        <f t="shared" si="26"/>
        <v>0</v>
      </c>
      <c r="H135" s="38">
        <f t="shared" si="27"/>
        <v>0</v>
      </c>
      <c r="I135" s="37">
        <f t="shared" si="28"/>
        <v>0</v>
      </c>
      <c r="J135" s="37">
        <f t="shared" si="29"/>
        <v>0</v>
      </c>
      <c r="K135" s="37">
        <f t="shared" si="30"/>
        <v>0</v>
      </c>
      <c r="L135" s="37">
        <f t="shared" si="31"/>
        <v>0</v>
      </c>
      <c r="M135" s="37">
        <f t="shared" si="32"/>
        <v>0</v>
      </c>
      <c r="N135" s="37">
        <f t="shared" si="33"/>
        <v>0</v>
      </c>
      <c r="O135" s="39"/>
      <c r="P135" s="39">
        <f t="shared" si="23"/>
        <v>0</v>
      </c>
      <c r="Q135" s="39">
        <f t="shared" si="24"/>
        <v>0</v>
      </c>
      <c r="R135" s="39">
        <f t="shared" si="25"/>
        <v>0</v>
      </c>
    </row>
    <row r="136" spans="1:18" ht="15.75" x14ac:dyDescent="0.25">
      <c r="A136" s="23"/>
      <c r="B136" s="23"/>
      <c r="C136" s="21"/>
      <c r="D136" s="18" t="s">
        <v>82</v>
      </c>
      <c r="E136" s="34"/>
      <c r="F136" s="11"/>
      <c r="G136" s="37">
        <f t="shared" si="26"/>
        <v>0</v>
      </c>
      <c r="H136" s="38">
        <f t="shared" si="27"/>
        <v>0</v>
      </c>
      <c r="I136" s="37">
        <f t="shared" si="28"/>
        <v>0</v>
      </c>
      <c r="J136" s="37">
        <f t="shared" si="29"/>
        <v>0</v>
      </c>
      <c r="K136" s="37">
        <f t="shared" si="30"/>
        <v>0</v>
      </c>
      <c r="L136" s="37">
        <f t="shared" si="31"/>
        <v>0</v>
      </c>
      <c r="M136" s="37">
        <f t="shared" si="32"/>
        <v>0</v>
      </c>
      <c r="N136" s="37">
        <f t="shared" si="33"/>
        <v>0</v>
      </c>
      <c r="O136" s="39"/>
      <c r="P136" s="39">
        <f t="shared" si="23"/>
        <v>0</v>
      </c>
      <c r="Q136" s="39">
        <f t="shared" si="24"/>
        <v>0</v>
      </c>
      <c r="R136" s="39">
        <f t="shared" si="25"/>
        <v>0</v>
      </c>
    </row>
    <row r="137" spans="1:18" ht="18.75" x14ac:dyDescent="0.25">
      <c r="A137" s="23"/>
      <c r="B137" s="23"/>
      <c r="C137" s="21"/>
      <c r="D137" s="16" t="s">
        <v>137</v>
      </c>
      <c r="E137" s="33"/>
      <c r="F137" s="11"/>
      <c r="G137" s="37">
        <f t="shared" si="26"/>
        <v>0</v>
      </c>
      <c r="H137" s="38">
        <f t="shared" si="27"/>
        <v>0</v>
      </c>
      <c r="I137" s="37">
        <f t="shared" si="28"/>
        <v>0</v>
      </c>
      <c r="J137" s="37">
        <f t="shared" si="29"/>
        <v>0</v>
      </c>
      <c r="K137" s="37">
        <f t="shared" si="30"/>
        <v>0</v>
      </c>
      <c r="L137" s="37">
        <f t="shared" si="31"/>
        <v>0</v>
      </c>
      <c r="M137" s="37">
        <f t="shared" si="32"/>
        <v>0</v>
      </c>
      <c r="N137" s="37">
        <f t="shared" si="33"/>
        <v>0</v>
      </c>
      <c r="O137" s="39"/>
      <c r="P137" s="39">
        <f t="shared" si="23"/>
        <v>0</v>
      </c>
      <c r="Q137" s="39">
        <f t="shared" si="24"/>
        <v>0</v>
      </c>
      <c r="R137" s="39">
        <f t="shared" si="25"/>
        <v>0</v>
      </c>
    </row>
    <row r="138" spans="1:18" ht="15.75" x14ac:dyDescent="0.25">
      <c r="A138" s="23"/>
      <c r="B138" s="23"/>
      <c r="C138" s="21"/>
      <c r="D138" s="18" t="s">
        <v>83</v>
      </c>
      <c r="E138" s="34"/>
      <c r="F138" s="11"/>
      <c r="G138" s="37">
        <f t="shared" si="26"/>
        <v>0</v>
      </c>
      <c r="H138" s="38">
        <f t="shared" si="27"/>
        <v>0</v>
      </c>
      <c r="I138" s="37">
        <f t="shared" si="28"/>
        <v>0</v>
      </c>
      <c r="J138" s="37">
        <f t="shared" si="29"/>
        <v>0</v>
      </c>
      <c r="K138" s="37">
        <f t="shared" si="30"/>
        <v>0</v>
      </c>
      <c r="L138" s="37">
        <f t="shared" si="31"/>
        <v>0</v>
      </c>
      <c r="M138" s="37">
        <f t="shared" si="32"/>
        <v>0</v>
      </c>
      <c r="N138" s="37">
        <f t="shared" si="33"/>
        <v>0</v>
      </c>
      <c r="O138" s="39"/>
      <c r="P138" s="39">
        <f t="shared" ref="P138" si="34">IF(A138="Describe medications used to prepare a patient for endotracheal intubation","L.O.1",IF(A138="Identify equipment needed for endotracheal intubation", "L.O.2", IF(A138="Relate position of patient head and neck to optimal laryngeal view","L.O.3",IF(A138="Distinguish features of normal and difficult airway anatomy","L.O.4",IF(A138="Employ proper technique for insertion of direct laryngoscopy blade (initial insertion, direction of movement, correction application of force)","L.O.5",IF(A138="Adjust blade appropriately to obtain optimal laryngeal view","L.O.6", IF(A138="Avoid injury to the patient with laryngoscope or endotracheal tube (lips, teeth, oropharyngeal tissues, larynx, trachea)","L.O.7",IF(A138="Ensure proper placement of endotracheal tube","L.O.8", IF(A138="N/A",0,0)))))))))</f>
        <v>0</v>
      </c>
      <c r="Q138" s="39">
        <f t="shared" ref="Q138" si="35">IF(B138="Describe medications used to prepare a patient for endotracheal intubation","L.O.1",IF(B138="Identify equipment needed for endotracheal intubation", "L.O.2", IF(B138="Relate position of patient head and neck to optimal laryngeal view","L.O.3",IF(B138="Distinguish features of normal and difficult airway anatomy","L.O.4",IF(B138="Employ proper technique for insertion of direct laryngoscopy blade (initial insertion, direction of movement, correction application of force)","L.O.5",IF(B138="Adjust blade appropriately to obtain optimal laryngeal view","L.O.6", IF(B138="Avoid injury to the patient with laryngoscope or endotracheal tube (lips, teeth, oropharyngeal tissues, larynx, trachea)","L.O.7",IF(B138="Ensure proper placement of endotracheal tube","L.O.8", IF(B138="N/A",0,0)))))))))</f>
        <v>0</v>
      </c>
      <c r="R138" s="39">
        <f t="shared" ref="R138" si="36">IF(C138="Describe medications used to prepare a patient for endotracheal intubation","L.O.1",IF(C138="Identify equipment needed for endotracheal intubation", "L.O.2", IF(C138="Relate position of patient head and neck to optimal laryngeal view","L.O.3",IF(C138="Distinguish features of normal and difficult airway anatomy","L.O.4",IF(C138="Employ proper technique for insertion of direct laryngoscopy blade (initial insertion, direction of movement, correction application of force)","L.O.5",IF(C138="Adjust blade appropriately to obtain optimal laryngeal view","L.O.6", IF(C138="Avoid injury to the patient with laryngoscope or endotracheal tube (lips, teeth, oropharyngeal tissues, larynx, trachea)","L.O.7",IF(C138="Ensure proper placement of endotracheal tube","L.O.8", IF(C138="N/A",0,0)))))))))</f>
        <v>0</v>
      </c>
    </row>
    <row r="139" spans="1:18" ht="15.75" x14ac:dyDescent="0.25">
      <c r="D139" s="2"/>
      <c r="E139" s="2"/>
      <c r="F139" s="11"/>
    </row>
  </sheetData>
  <mergeCells count="2">
    <mergeCell ref="A3:C3"/>
    <mergeCell ref="A2:D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36"/>
  <sheetViews>
    <sheetView workbookViewId="0">
      <selection activeCell="A6" sqref="A6"/>
    </sheetView>
  </sheetViews>
  <sheetFormatPr defaultRowHeight="15" x14ac:dyDescent="0.25"/>
  <cols>
    <col min="1" max="1" width="86" customWidth="1"/>
  </cols>
  <sheetData>
    <row r="1" spans="1:1" ht="18.75" x14ac:dyDescent="0.3">
      <c r="A1" s="12" t="s">
        <v>138</v>
      </c>
    </row>
    <row r="2" spans="1:1" ht="18.75" x14ac:dyDescent="0.25">
      <c r="A2" s="6" t="s">
        <v>94</v>
      </c>
    </row>
    <row r="3" spans="1:1" ht="19.5" x14ac:dyDescent="0.25">
      <c r="A3" s="7" t="s">
        <v>96</v>
      </c>
    </row>
    <row r="4" spans="1:1" ht="18.75" x14ac:dyDescent="0.25">
      <c r="A4" s="8" t="s">
        <v>97</v>
      </c>
    </row>
    <row r="5" spans="1:1" ht="15.75" x14ac:dyDescent="0.25">
      <c r="A5" s="9" t="s">
        <v>0</v>
      </c>
    </row>
    <row r="6" spans="1:1" ht="15.75" x14ac:dyDescent="0.25">
      <c r="A6" s="9" t="s">
        <v>1</v>
      </c>
    </row>
    <row r="7" spans="1:1" ht="15.75" x14ac:dyDescent="0.25">
      <c r="A7" s="9" t="s">
        <v>2</v>
      </c>
    </row>
    <row r="8" spans="1:1" ht="15.75" x14ac:dyDescent="0.25">
      <c r="A8" s="10" t="s">
        <v>3</v>
      </c>
    </row>
    <row r="9" spans="1:1" ht="15.75" x14ac:dyDescent="0.25">
      <c r="A9" s="10" t="s">
        <v>4</v>
      </c>
    </row>
    <row r="10" spans="1:1" ht="15.75" x14ac:dyDescent="0.25">
      <c r="A10" s="10" t="s">
        <v>5</v>
      </c>
    </row>
    <row r="11" spans="1:1" ht="15.75" x14ac:dyDescent="0.25">
      <c r="A11" s="10" t="s">
        <v>6</v>
      </c>
    </row>
    <row r="12" spans="1:1" ht="15.75" x14ac:dyDescent="0.25">
      <c r="A12" s="9" t="s">
        <v>7</v>
      </c>
    </row>
    <row r="13" spans="1:1" ht="15.75" x14ac:dyDescent="0.25">
      <c r="A13" s="9" t="s">
        <v>8</v>
      </c>
    </row>
    <row r="14" spans="1:1" ht="15.75" x14ac:dyDescent="0.25">
      <c r="A14" s="9" t="s">
        <v>9</v>
      </c>
    </row>
    <row r="15" spans="1:1" ht="15.75" x14ac:dyDescent="0.25">
      <c r="A15" s="9" t="s">
        <v>10</v>
      </c>
    </row>
    <row r="16" spans="1:1" ht="15.75" x14ac:dyDescent="0.25">
      <c r="A16" s="9" t="s">
        <v>11</v>
      </c>
    </row>
    <row r="17" spans="1:1" ht="15.75" x14ac:dyDescent="0.25">
      <c r="A17" s="9" t="s">
        <v>12</v>
      </c>
    </row>
    <row r="18" spans="1:1" ht="15.75" x14ac:dyDescent="0.25">
      <c r="A18" s="9" t="s">
        <v>13</v>
      </c>
    </row>
    <row r="19" spans="1:1" ht="15.75" x14ac:dyDescent="0.25">
      <c r="A19" s="9" t="s">
        <v>14</v>
      </c>
    </row>
    <row r="20" spans="1:1" ht="15.75" x14ac:dyDescent="0.25">
      <c r="A20" s="9" t="s">
        <v>15</v>
      </c>
    </row>
    <row r="21" spans="1:1" ht="19.5" x14ac:dyDescent="0.25">
      <c r="A21" s="7" t="s">
        <v>95</v>
      </c>
    </row>
    <row r="22" spans="1:1" ht="18.75" x14ac:dyDescent="0.25">
      <c r="A22" s="8" t="s">
        <v>98</v>
      </c>
    </row>
    <row r="23" spans="1:1" ht="15.75" x14ac:dyDescent="0.25">
      <c r="A23" s="9" t="s">
        <v>16</v>
      </c>
    </row>
    <row r="24" spans="1:1" ht="15.75" x14ac:dyDescent="0.25">
      <c r="A24" s="9" t="s">
        <v>17</v>
      </c>
    </row>
    <row r="25" spans="1:1" ht="15.75" x14ac:dyDescent="0.25">
      <c r="A25" s="9" t="s">
        <v>18</v>
      </c>
    </row>
    <row r="26" spans="1:1" ht="15.75" x14ac:dyDescent="0.25">
      <c r="A26" s="9" t="s">
        <v>19</v>
      </c>
    </row>
    <row r="27" spans="1:1" ht="15.75" x14ac:dyDescent="0.25">
      <c r="A27" s="9" t="s">
        <v>20</v>
      </c>
    </row>
    <row r="28" spans="1:1" ht="15.75" x14ac:dyDescent="0.25">
      <c r="A28" s="9" t="s">
        <v>2</v>
      </c>
    </row>
    <row r="29" spans="1:1" ht="15.75" x14ac:dyDescent="0.25">
      <c r="A29" s="9" t="s">
        <v>21</v>
      </c>
    </row>
    <row r="30" spans="1:1" ht="15.75" x14ac:dyDescent="0.25">
      <c r="A30" s="9" t="s">
        <v>22</v>
      </c>
    </row>
    <row r="31" spans="1:1" ht="18.75" x14ac:dyDescent="0.25">
      <c r="A31" s="8" t="s">
        <v>99</v>
      </c>
    </row>
    <row r="32" spans="1:1" ht="18.75" x14ac:dyDescent="0.25">
      <c r="A32" s="8" t="s">
        <v>100</v>
      </c>
    </row>
    <row r="33" spans="1:1" x14ac:dyDescent="0.25">
      <c r="A33" s="5"/>
    </row>
    <row r="34" spans="1:1" ht="19.5" x14ac:dyDescent="0.25">
      <c r="A34" s="7" t="s">
        <v>23</v>
      </c>
    </row>
    <row r="35" spans="1:1" ht="19.5" x14ac:dyDescent="0.25">
      <c r="A35" s="7" t="s">
        <v>24</v>
      </c>
    </row>
    <row r="36" spans="1:1" ht="19.5" x14ac:dyDescent="0.25">
      <c r="A36" s="7" t="s">
        <v>25</v>
      </c>
    </row>
    <row r="37" spans="1:1" ht="19.5" x14ac:dyDescent="0.25">
      <c r="A37" s="7" t="s">
        <v>26</v>
      </c>
    </row>
    <row r="38" spans="1:1" ht="18.75" x14ac:dyDescent="0.25">
      <c r="A38" s="8" t="s">
        <v>101</v>
      </c>
    </row>
    <row r="39" spans="1:1" ht="18.75" x14ac:dyDescent="0.25">
      <c r="A39" s="8" t="s">
        <v>102</v>
      </c>
    </row>
    <row r="40" spans="1:1" ht="18.75" x14ac:dyDescent="0.25">
      <c r="A40" s="8" t="s">
        <v>103</v>
      </c>
    </row>
    <row r="41" spans="1:1" ht="15.75" x14ac:dyDescent="0.25">
      <c r="A41" s="9" t="s">
        <v>27</v>
      </c>
    </row>
    <row r="42" spans="1:1" ht="15.75" x14ac:dyDescent="0.25">
      <c r="A42" s="9" t="s">
        <v>28</v>
      </c>
    </row>
    <row r="43" spans="1:1" ht="18.75" x14ac:dyDescent="0.25">
      <c r="A43" s="8" t="s">
        <v>104</v>
      </c>
    </row>
    <row r="44" spans="1:1" ht="19.5" x14ac:dyDescent="0.25">
      <c r="A44" s="7" t="s">
        <v>29</v>
      </c>
    </row>
    <row r="45" spans="1:1" ht="18.75" x14ac:dyDescent="0.25">
      <c r="A45" s="8" t="s">
        <v>105</v>
      </c>
    </row>
    <row r="46" spans="1:1" ht="15.75" x14ac:dyDescent="0.25">
      <c r="A46" s="9" t="s">
        <v>30</v>
      </c>
    </row>
    <row r="47" spans="1:1" ht="15.75" x14ac:dyDescent="0.25">
      <c r="A47" s="9" t="s">
        <v>31</v>
      </c>
    </row>
    <row r="48" spans="1:1" ht="18.75" x14ac:dyDescent="0.25">
      <c r="A48" s="8" t="s">
        <v>106</v>
      </c>
    </row>
    <row r="49" spans="1:1" ht="18.75" x14ac:dyDescent="0.25">
      <c r="A49" s="8" t="s">
        <v>107</v>
      </c>
    </row>
    <row r="50" spans="1:1" ht="18.75" x14ac:dyDescent="0.25">
      <c r="A50" s="8" t="s">
        <v>108</v>
      </c>
    </row>
    <row r="51" spans="1:1" ht="15.75" x14ac:dyDescent="0.25">
      <c r="A51" s="9" t="s">
        <v>32</v>
      </c>
    </row>
    <row r="52" spans="1:1" ht="15.75" x14ac:dyDescent="0.25">
      <c r="A52" s="9" t="s">
        <v>33</v>
      </c>
    </row>
    <row r="53" spans="1:1" ht="15.75" x14ac:dyDescent="0.25">
      <c r="A53" s="9" t="s">
        <v>34</v>
      </c>
    </row>
    <row r="54" spans="1:1" ht="18.75" x14ac:dyDescent="0.25">
      <c r="A54" s="8" t="s">
        <v>109</v>
      </c>
    </row>
    <row r="55" spans="1:1" x14ac:dyDescent="0.25">
      <c r="A55" s="5"/>
    </row>
    <row r="56" spans="1:1" ht="19.5" x14ac:dyDescent="0.25">
      <c r="A56" s="7" t="s">
        <v>35</v>
      </c>
    </row>
    <row r="57" spans="1:1" ht="18.75" x14ac:dyDescent="0.25">
      <c r="A57" s="8" t="s">
        <v>110</v>
      </c>
    </row>
    <row r="58" spans="1:1" ht="18.75" x14ac:dyDescent="0.25">
      <c r="A58" s="8" t="s">
        <v>111</v>
      </c>
    </row>
    <row r="59" spans="1:1" ht="15.75" x14ac:dyDescent="0.25">
      <c r="A59" s="9" t="s">
        <v>36</v>
      </c>
    </row>
    <row r="60" spans="1:1" ht="19.5" x14ac:dyDescent="0.25">
      <c r="A60" s="7" t="s">
        <v>37</v>
      </c>
    </row>
    <row r="61" spans="1:1" ht="18.75" x14ac:dyDescent="0.25">
      <c r="A61" s="8" t="s">
        <v>112</v>
      </c>
    </row>
    <row r="62" spans="1:1" ht="18.75" x14ac:dyDescent="0.25">
      <c r="A62" s="8" t="s">
        <v>113</v>
      </c>
    </row>
    <row r="63" spans="1:1" ht="19.5" x14ac:dyDescent="0.25">
      <c r="A63" s="7" t="s">
        <v>38</v>
      </c>
    </row>
    <row r="64" spans="1:1" ht="18.75" x14ac:dyDescent="0.25">
      <c r="A64" s="8" t="s">
        <v>114</v>
      </c>
    </row>
    <row r="65" spans="1:1" ht="15.75" x14ac:dyDescent="0.25">
      <c r="A65" s="9" t="s">
        <v>39</v>
      </c>
    </row>
    <row r="66" spans="1:1" ht="15.75" x14ac:dyDescent="0.25">
      <c r="A66" s="9" t="s">
        <v>40</v>
      </c>
    </row>
    <row r="67" spans="1:1" ht="15.75" x14ac:dyDescent="0.25">
      <c r="A67" s="9" t="s">
        <v>41</v>
      </c>
    </row>
    <row r="68" spans="1:1" ht="15.75" x14ac:dyDescent="0.25">
      <c r="A68" s="9" t="s">
        <v>42</v>
      </c>
    </row>
    <row r="69" spans="1:1" ht="18.75" x14ac:dyDescent="0.25">
      <c r="A69" s="8" t="s">
        <v>115</v>
      </c>
    </row>
    <row r="70" spans="1:1" ht="15.75" x14ac:dyDescent="0.25">
      <c r="A70" s="9" t="s">
        <v>43</v>
      </c>
    </row>
    <row r="71" spans="1:1" ht="15.75" x14ac:dyDescent="0.25">
      <c r="A71" s="9" t="s">
        <v>44</v>
      </c>
    </row>
    <row r="72" spans="1:1" ht="15.75" x14ac:dyDescent="0.25">
      <c r="A72" s="9" t="s">
        <v>45</v>
      </c>
    </row>
    <row r="73" spans="1:1" ht="15.75" x14ac:dyDescent="0.25">
      <c r="A73" s="9" t="s">
        <v>46</v>
      </c>
    </row>
    <row r="74" spans="1:1" ht="15.75" x14ac:dyDescent="0.25">
      <c r="A74" s="9" t="s">
        <v>47</v>
      </c>
    </row>
    <row r="75" spans="1:1" x14ac:dyDescent="0.25">
      <c r="A75" s="5"/>
    </row>
    <row r="76" spans="1:1" ht="19.5" x14ac:dyDescent="0.25">
      <c r="A76" s="7" t="s">
        <v>48</v>
      </c>
    </row>
    <row r="77" spans="1:1" ht="18.75" x14ac:dyDescent="0.25">
      <c r="A77" s="8" t="s">
        <v>116</v>
      </c>
    </row>
    <row r="78" spans="1:1" ht="18.75" x14ac:dyDescent="0.25">
      <c r="A78" s="8" t="s">
        <v>117</v>
      </c>
    </row>
    <row r="79" spans="1:1" ht="15.75" x14ac:dyDescent="0.25">
      <c r="A79" s="9" t="s">
        <v>49</v>
      </c>
    </row>
    <row r="80" spans="1:1" ht="15.75" x14ac:dyDescent="0.25">
      <c r="A80" s="9" t="s">
        <v>50</v>
      </c>
    </row>
    <row r="81" spans="1:1" ht="15.75" x14ac:dyDescent="0.25">
      <c r="A81" s="9" t="s">
        <v>51</v>
      </c>
    </row>
    <row r="82" spans="1:1" ht="18.75" x14ac:dyDescent="0.25">
      <c r="A82" s="8" t="s">
        <v>118</v>
      </c>
    </row>
    <row r="83" spans="1:1" ht="15.75" x14ac:dyDescent="0.25">
      <c r="A83" s="9" t="s">
        <v>52</v>
      </c>
    </row>
    <row r="84" spans="1:1" ht="15.75" x14ac:dyDescent="0.25">
      <c r="A84" s="9" t="s">
        <v>53</v>
      </c>
    </row>
    <row r="85" spans="1:1" ht="19.5" x14ac:dyDescent="0.25">
      <c r="A85" s="7" t="s">
        <v>54</v>
      </c>
    </row>
    <row r="86" spans="1:1" ht="18.75" x14ac:dyDescent="0.25">
      <c r="A86" s="8" t="s">
        <v>119</v>
      </c>
    </row>
    <row r="87" spans="1:1" ht="15.75" x14ac:dyDescent="0.25">
      <c r="A87" s="9" t="s">
        <v>55</v>
      </c>
    </row>
    <row r="88" spans="1:1" ht="15.75" x14ac:dyDescent="0.25">
      <c r="A88" s="9" t="s">
        <v>56</v>
      </c>
    </row>
    <row r="89" spans="1:1" ht="15.75" x14ac:dyDescent="0.25">
      <c r="A89" s="9" t="s">
        <v>57</v>
      </c>
    </row>
    <row r="90" spans="1:1" ht="18.75" x14ac:dyDescent="0.25">
      <c r="A90" s="8" t="s">
        <v>120</v>
      </c>
    </row>
    <row r="91" spans="1:1" ht="15.75" x14ac:dyDescent="0.25">
      <c r="A91" s="9" t="s">
        <v>58</v>
      </c>
    </row>
    <row r="92" spans="1:1" ht="18.75" x14ac:dyDescent="0.25">
      <c r="A92" s="8" t="s">
        <v>121</v>
      </c>
    </row>
    <row r="93" spans="1:1" ht="15.75" x14ac:dyDescent="0.25">
      <c r="A93" s="9" t="s">
        <v>59</v>
      </c>
    </row>
    <row r="94" spans="1:1" ht="15.75" x14ac:dyDescent="0.25">
      <c r="A94" s="9" t="s">
        <v>60</v>
      </c>
    </row>
    <row r="95" spans="1:1" ht="18.75" x14ac:dyDescent="0.25">
      <c r="A95" s="8" t="s">
        <v>122</v>
      </c>
    </row>
    <row r="96" spans="1:1" ht="15.75" x14ac:dyDescent="0.25">
      <c r="A96" s="9" t="s">
        <v>61</v>
      </c>
    </row>
    <row r="97" spans="1:1" ht="18.75" x14ac:dyDescent="0.25">
      <c r="A97" s="8" t="s">
        <v>123</v>
      </c>
    </row>
    <row r="98" spans="1:1" ht="15.75" x14ac:dyDescent="0.25">
      <c r="A98" s="9" t="s">
        <v>62</v>
      </c>
    </row>
    <row r="99" spans="1:1" ht="15.75" x14ac:dyDescent="0.25">
      <c r="A99" s="9" t="s">
        <v>63</v>
      </c>
    </row>
    <row r="100" spans="1:1" ht="18.75" x14ac:dyDescent="0.25">
      <c r="A100" s="8" t="s">
        <v>124</v>
      </c>
    </row>
    <row r="101" spans="1:1" ht="15.75" x14ac:dyDescent="0.25">
      <c r="A101" s="9" t="s">
        <v>64</v>
      </c>
    </row>
    <row r="102" spans="1:1" ht="18.75" x14ac:dyDescent="0.25">
      <c r="A102" s="8" t="s">
        <v>125</v>
      </c>
    </row>
    <row r="103" spans="1:1" ht="15.75" x14ac:dyDescent="0.25">
      <c r="A103" s="9" t="s">
        <v>65</v>
      </c>
    </row>
    <row r="104" spans="1:1" ht="15.75" x14ac:dyDescent="0.25">
      <c r="A104" s="9" t="s">
        <v>66</v>
      </c>
    </row>
    <row r="105" spans="1:1" ht="15.75" x14ac:dyDescent="0.25">
      <c r="A105" s="9" t="s">
        <v>67</v>
      </c>
    </row>
    <row r="106" spans="1:1" ht="18.75" x14ac:dyDescent="0.25">
      <c r="A106" s="8" t="s">
        <v>126</v>
      </c>
    </row>
    <row r="107" spans="1:1" ht="15.75" x14ac:dyDescent="0.25">
      <c r="A107" s="9" t="s">
        <v>68</v>
      </c>
    </row>
    <row r="108" spans="1:1" ht="18.75" x14ac:dyDescent="0.25">
      <c r="A108" s="8" t="s">
        <v>127</v>
      </c>
    </row>
    <row r="109" spans="1:1" ht="15.75" x14ac:dyDescent="0.25">
      <c r="A109" s="9" t="s">
        <v>69</v>
      </c>
    </row>
    <row r="110" spans="1:1" ht="18.75" x14ac:dyDescent="0.25">
      <c r="A110" s="8" t="s">
        <v>128</v>
      </c>
    </row>
    <row r="111" spans="1:1" ht="15.75" x14ac:dyDescent="0.25">
      <c r="A111" s="9" t="s">
        <v>70</v>
      </c>
    </row>
    <row r="112" spans="1:1" ht="18.75" x14ac:dyDescent="0.25">
      <c r="A112" s="8" t="s">
        <v>129</v>
      </c>
    </row>
    <row r="113" spans="1:1" x14ac:dyDescent="0.25">
      <c r="A113" s="5"/>
    </row>
    <row r="114" spans="1:1" ht="19.5" x14ac:dyDescent="0.25">
      <c r="A114" s="7" t="s">
        <v>71</v>
      </c>
    </row>
    <row r="115" spans="1:1" ht="18.75" x14ac:dyDescent="0.25">
      <c r="A115" s="8" t="s">
        <v>130</v>
      </c>
    </row>
    <row r="116" spans="1:1" ht="18.75" x14ac:dyDescent="0.25">
      <c r="A116" s="8" t="s">
        <v>131</v>
      </c>
    </row>
    <row r="117" spans="1:1" ht="18.75" x14ac:dyDescent="0.25">
      <c r="A117" s="8" t="s">
        <v>132</v>
      </c>
    </row>
    <row r="118" spans="1:1" ht="18.75" x14ac:dyDescent="0.25">
      <c r="A118" s="8" t="s">
        <v>133</v>
      </c>
    </row>
    <row r="119" spans="1:1" ht="15.75" x14ac:dyDescent="0.25">
      <c r="A119" s="9" t="s">
        <v>72</v>
      </c>
    </row>
    <row r="120" spans="1:1" ht="15.75" x14ac:dyDescent="0.25">
      <c r="A120" s="9" t="s">
        <v>73</v>
      </c>
    </row>
    <row r="121" spans="1:1" ht="15.75" x14ac:dyDescent="0.25">
      <c r="A121" s="9" t="s">
        <v>74</v>
      </c>
    </row>
    <row r="122" spans="1:1" ht="15.75" x14ac:dyDescent="0.25">
      <c r="A122" s="9" t="s">
        <v>75</v>
      </c>
    </row>
    <row r="123" spans="1:1" ht="18.75" x14ac:dyDescent="0.25">
      <c r="A123" s="8" t="s">
        <v>134</v>
      </c>
    </row>
    <row r="124" spans="1:1" ht="15.75" x14ac:dyDescent="0.25">
      <c r="A124" s="9" t="s">
        <v>72</v>
      </c>
    </row>
    <row r="125" spans="1:1" ht="15.75" x14ac:dyDescent="0.25">
      <c r="A125" s="9" t="s">
        <v>76</v>
      </c>
    </row>
    <row r="126" spans="1:1" ht="15.75" x14ac:dyDescent="0.25">
      <c r="A126" s="9" t="s">
        <v>77</v>
      </c>
    </row>
    <row r="127" spans="1:1" ht="19.5" x14ac:dyDescent="0.25">
      <c r="A127" s="7" t="s">
        <v>78</v>
      </c>
    </row>
    <row r="128" spans="1:1" ht="19.5" x14ac:dyDescent="0.25">
      <c r="A128" s="7" t="s">
        <v>79</v>
      </c>
    </row>
    <row r="129" spans="1:1" ht="18.75" x14ac:dyDescent="0.25">
      <c r="A129" s="8" t="s">
        <v>135</v>
      </c>
    </row>
    <row r="130" spans="1:1" ht="19.5" x14ac:dyDescent="0.25">
      <c r="A130" s="7" t="s">
        <v>80</v>
      </c>
    </row>
    <row r="131" spans="1:1" ht="18.75" x14ac:dyDescent="0.25">
      <c r="A131" s="8" t="s">
        <v>136</v>
      </c>
    </row>
    <row r="132" spans="1:1" ht="15.75" x14ac:dyDescent="0.25">
      <c r="A132" s="9" t="s">
        <v>81</v>
      </c>
    </row>
    <row r="133" spans="1:1" ht="15.75" x14ac:dyDescent="0.25">
      <c r="A133" s="9" t="s">
        <v>82</v>
      </c>
    </row>
    <row r="134" spans="1:1" ht="18.75" x14ac:dyDescent="0.25">
      <c r="A134" s="8" t="s">
        <v>137</v>
      </c>
    </row>
    <row r="135" spans="1:1" ht="15.75" x14ac:dyDescent="0.25">
      <c r="A135" s="9" t="s">
        <v>83</v>
      </c>
    </row>
    <row r="136" spans="1:1" ht="15.75" x14ac:dyDescent="0.25">
      <c r="A136" s="2" t="s">
        <v>84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9"/>
  <sheetViews>
    <sheetView zoomScale="90" zoomScaleNormal="90" workbookViewId="0">
      <selection activeCell="A2" sqref="A2:A9"/>
    </sheetView>
  </sheetViews>
  <sheetFormatPr defaultRowHeight="15" x14ac:dyDescent="0.25"/>
  <sheetData>
    <row r="1" spans="1:1" x14ac:dyDescent="0.25">
      <c r="A1" s="1" t="s">
        <v>93</v>
      </c>
    </row>
    <row r="2" spans="1:1" ht="15.75" x14ac:dyDescent="0.25">
      <c r="A2" s="2" t="s">
        <v>85</v>
      </c>
    </row>
    <row r="3" spans="1:1" ht="15.75" x14ac:dyDescent="0.25">
      <c r="A3" s="2" t="s">
        <v>86</v>
      </c>
    </row>
    <row r="4" spans="1:1" ht="15.75" x14ac:dyDescent="0.25">
      <c r="A4" s="2" t="s">
        <v>87</v>
      </c>
    </row>
    <row r="5" spans="1:1" ht="15.75" x14ac:dyDescent="0.25">
      <c r="A5" s="2" t="s">
        <v>88</v>
      </c>
    </row>
    <row r="6" spans="1:1" ht="15.75" x14ac:dyDescent="0.25">
      <c r="A6" s="2" t="s">
        <v>89</v>
      </c>
    </row>
    <row r="7" spans="1:1" ht="15.75" x14ac:dyDescent="0.25">
      <c r="A7" s="2" t="s">
        <v>90</v>
      </c>
    </row>
    <row r="8" spans="1:1" ht="15.75" x14ac:dyDescent="0.25">
      <c r="A8" s="2" t="s">
        <v>91</v>
      </c>
    </row>
    <row r="9" spans="1:1" ht="15.75" x14ac:dyDescent="0.25">
      <c r="A9" s="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MatchingToTasks</vt:lpstr>
      <vt:lpstr>Tasks</vt:lpstr>
      <vt:lpstr>Learning Objectives</vt:lpstr>
    </vt:vector>
  </TitlesOfParts>
  <Company>University at Buffalo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Sudeep</dc:creator>
  <cp:lastModifiedBy>Sudeep</cp:lastModifiedBy>
  <dcterms:created xsi:type="dcterms:W3CDTF">2015-10-08T18:15:16Z</dcterms:created>
  <dcterms:modified xsi:type="dcterms:W3CDTF">2015-12-23T21:21:07Z</dcterms:modified>
</cp:coreProperties>
</file>